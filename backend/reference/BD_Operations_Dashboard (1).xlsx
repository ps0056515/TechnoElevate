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argets" sheetId="2" state="visible" r:id="rId4"/>
    <sheet name="Positions" sheetId="3" state="visible" r:id="rId5"/>
    <sheet name="BD Funnel" sheetId="4" state="visible" r:id="rId6"/>
    <sheet name="Account Scorecard" sheetId="5" state="visible" r:id="rId7"/>
    <sheet name="Skill Gap" sheetId="6" state="visible" r:id="rId8"/>
    <sheet name="BD Performance" sheetId="7" state="visible" r:id="rId9"/>
    <sheet name="Hard-to-Place" sheetId="8" state="visible" r:id="rId10"/>
    <sheet name="Bench vs Market" sheetId="9" state="visible" r:id="rId11"/>
    <sheet name="BD Data" sheetId="10" state="visible" r:id="rId12"/>
    <sheet name="Bench Data" sheetId="11" state="visible" r:id="rId13"/>
    <sheet name="Bench Intv Data" sheetId="12" state="visible" r:id="rId14"/>
    <sheet name="Market Intv Data" sheetId="13" state="visible" r:id="rId15"/>
    <sheet name="Instruction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<sst xmlns="http://schemas.openxmlformats.org/spreadsheetml/2006/main" count="3810" uniqueCount="802">
  <si>
    <t xml:space="preserve">BD Operations Dashboard — Executive Summary</t>
  </si>
  <si>
    <t xml:space="preserve">Source data: BD, Bench, Bench Interview, Market Interview tabs (live)</t>
  </si>
  <si>
    <t xml:space="preserve">Auto-updated when source tabs change. Copy fresh source data into the *_Data tabs to refresh.</t>
  </si>
  <si>
    <t xml:space="preserve">TOP-LINE BUSINESS KPIs</t>
  </si>
  <si>
    <t xml:space="preserve">Total Submissions</t>
  </si>
  <si>
    <t xml:space="preserve">Submissions This Month</t>
  </si>
  <si>
    <t xml:space="preserve">Onboarded (#)</t>
  </si>
  <si>
    <t xml:space="preserve">Submission→Onboard %</t>
  </si>
  <si>
    <t xml:space="preserve">Active Pipeline</t>
  </si>
  <si>
    <t xml:space="preserve">Bench Strength (RFD)</t>
  </si>
  <si>
    <t xml:space="preserve">Total Interviews</t>
  </si>
  <si>
    <t xml:space="preserve">Selection Rate</t>
  </si>
  <si>
    <t xml:space="preserve">THE STORY IN 3 NUMBERS</t>
  </si>
  <si>
    <t xml:space="preserve">Bench yield</t>
  </si>
  <si>
    <t xml:space="preserve">Market yield</t>
  </si>
  <si>
    <t xml:space="preserve">Profile rejection</t>
  </si>
  <si>
    <t xml:space="preserve">Onboarded from Bench source</t>
  </si>
  <si>
    <t xml:space="preserve">Onboarded from Market source</t>
  </si>
  <si>
    <t xml:space="preserve">Profiles rejected before interview</t>
  </si>
  <si>
    <t xml:space="preserve">of</t>
  </si>
  <si>
    <t xml:space="preserve">KEY TAKEAWAYS (rules of thumb — verify against current data)</t>
  </si>
  <si>
    <t xml:space="preserve">1. Bench-sourced submissions onboard at ~4.5%; Market submissions at 0.0% — Market sourcing isn't paying off.</t>
  </si>
  <si>
    <t xml:space="preserve">2. 33% of all submissions are Profile Rejected before interview — client-fit screening needs improvement.</t>
  </si>
  <si>
    <t xml:space="preserve">3. REBIT (24 subs, 0 onboarded) and Xebia (13 subs, 0 onboarded) absorb effort without returns.</t>
  </si>
  <si>
    <t xml:space="preserve">4. Kognivera (5 subs, 1 onboarded = 20%) is your most efficient account — invest more there.</t>
  </si>
  <si>
    <t xml:space="preserve">5. Skill gaps: Python (17 demands, 0 bench), Node (11, 0), MERN (6, 0) — hiring would unlock pipeline.</t>
  </si>
  <si>
    <t xml:space="preserve">6. Bench interview selection rate is healthy at 66% — bottleneck is profile acceptance, not interview performance.</t>
  </si>
  <si>
    <t xml:space="preserve">7. Veeru handles 38% of all bench interviews — concentration risk if she's unavailable.</t>
  </si>
  <si>
    <t xml:space="preserve">8. Bushra Sultana has 10 interviews and is still on bench — investigate fit issues.</t>
  </si>
  <si>
    <t xml:space="preserve">→ See 'Positions' tab for detailed open/closed roles, and 'Targets' tab for engineers (15) &amp; revenue (₹29 Cr) progress.</t>
  </si>
  <si>
    <t xml:space="preserve">Targets — Engineers (15) and Revenue (₹29 Cr)</t>
  </si>
  <si>
    <t xml:space="preserve">Tracks net additions and realized revenue against FY targets. Updates automatically from BD Data and Positions tab.</t>
  </si>
  <si>
    <t xml:space="preserve">Engineers Target:</t>
  </si>
  <si>
    <t xml:space="preserve">Revenue Target (₹ Cr):</t>
  </si>
  <si>
    <t xml:space="preserve">ENGINEERS — Net additions vs target of 15</t>
  </si>
  <si>
    <t xml:space="preserve">Onboarded (YTD)</t>
  </si>
  <si>
    <t xml:space="preserve">Target</t>
  </si>
  <si>
    <t xml:space="preserve">% of Target</t>
  </si>
  <si>
    <t xml:space="preserve">Gap to Close</t>
  </si>
  <si>
    <t xml:space="preserve">Waiting to Onboard</t>
  </si>
  <si>
    <t xml:space="preserve">Best-case (Onb + Final Sel)</t>
  </si>
  <si>
    <t xml:space="preserve">Progress:</t>
  </si>
  <si>
    <t xml:space="preserve">REVENUE — Realized vs target of ₹29 Cr</t>
  </si>
  <si>
    <t xml:space="preserve">Realized (₹ Cr)</t>
  </si>
  <si>
    <t xml:space="preserve">Target (₹ Cr)</t>
  </si>
  <si>
    <t xml:space="preserve">Gap (₹ Cr)</t>
  </si>
  <si>
    <t xml:space="preserve">At Stake — Open (₹ Cr)</t>
  </si>
  <si>
    <t xml:space="preserve">Best-case Visible (₹ Cr)</t>
  </si>
  <si>
    <t xml:space="preserve">RUN-RATE ANALYSIS</t>
  </si>
  <si>
    <t xml:space="preserve">Tracking start date</t>
  </si>
  <si>
    <t xml:space="preserve">12-Mar-2026</t>
  </si>
  <si>
    <t xml:space="preserve">Tracking duration (months)</t>
  </si>
  <si>
    <t xml:space="preserve">Engineers — actual run-rate/mo</t>
  </si>
  <si>
    <t xml:space="preserve">Engineers — required run-rate/mo to hit target</t>
  </si>
  <si>
    <t xml:space="preserve">Revenue — actual run-rate ₹Cr/mo</t>
  </si>
  <si>
    <t xml:space="preserve">Revenue — required run-rate ₹Cr/mo to hit target</t>
  </si>
  <si>
    <t xml:space="preserve">VERDICT — Are we on track?</t>
  </si>
  <si>
    <t xml:space="preserve">Engineers</t>
  </si>
  <si>
    <t xml:space="preserve">Revenue</t>
  </si>
  <si>
    <t xml:space="preserve">MONTHLY BREAKDOWN (onboarding by month from BD Data)</t>
  </si>
  <si>
    <t xml:space="preserve">Month (Position EnDate)</t>
  </si>
  <si>
    <t xml:space="preserve">Onboarded</t>
  </si>
  <si>
    <t xml:space="preserve">Revenue (₹ L)</t>
  </si>
  <si>
    <t xml:space="preserve">Cumulative Eng</t>
  </si>
  <si>
    <t xml:space="preserve">Cumulative Rev (₹ Cr)</t>
  </si>
  <si>
    <t xml:space="preserve">Mar-2026</t>
  </si>
  <si>
    <t xml:space="preserve">Apr-2026</t>
  </si>
  <si>
    <t xml:space="preserve">Positions — open &amp; closed roles by client and skill</t>
  </si>
  <si>
    <t xml:space="preserve">Each row = unique (Client + Skill + Date) position. OPEN = candidates active in pipeline. CLOSED = someone onboarded. DEAD positions excluded.</t>
  </si>
  <si>
    <t xml:space="preserve">Revenue estimate: Budget LPM × Duration months. Where budget missing, default ₹1,00,000/month × 6 months = ₹6L.</t>
  </si>
  <si>
    <t xml:space="preserve">POSITION SUMMARY</t>
  </si>
  <si>
    <t xml:space="preserve">Open Positions</t>
  </si>
  <si>
    <t xml:space="preserve">Closed Positions</t>
  </si>
  <si>
    <t xml:space="preserve">Submissions (Open)</t>
  </si>
  <si>
    <t xml:space="preserve">Interviews Done (Open)</t>
  </si>
  <si>
    <t xml:space="preserve">Avg Days Open</t>
  </si>
  <si>
    <t xml:space="preserve">Revenue at Stake (₹L)</t>
  </si>
  <si>
    <t xml:space="preserve">Revenue Realized (₹L)</t>
  </si>
  <si>
    <t xml:space="preserve">#</t>
  </si>
  <si>
    <t xml:space="preserve">Status</t>
  </si>
  <si>
    <t xml:space="preserve">Account</t>
  </si>
  <si>
    <t xml:space="preserve">Skill</t>
  </si>
  <si>
    <t xml:space="preserve">Location</t>
  </si>
  <si>
    <t xml:space="preserve">Work Mode</t>
  </si>
  <si>
    <t xml:space="preserve">Position Created</t>
  </si>
  <si>
    <t xml:space="preserve">Days Open</t>
  </si>
  <si>
    <t xml:space="preserve">Candidates Submitted</t>
  </si>
  <si>
    <t xml:space="preserve">Interviews Done</t>
  </si>
  <si>
    <t xml:space="preserve">Status Mix</t>
  </si>
  <si>
    <t xml:space="preserve">Revenue Estimate (₹L)</t>
  </si>
  <si>
    <t xml:space="preserve">Notes</t>
  </si>
  <si>
    <t xml:space="preserve">OPEN</t>
  </si>
  <si>
    <t xml:space="preserve">Geekyants</t>
  </si>
  <si>
    <t xml:space="preserve">Java</t>
  </si>
  <si>
    <t xml:space="preserve">MUM</t>
  </si>
  <si>
    <t xml:space="preserve">WFO</t>
  </si>
  <si>
    <t xml:space="preserve">Final Select(1)</t>
  </si>
  <si>
    <t xml:space="preserve">Est. budget</t>
  </si>
  <si>
    <t xml:space="preserve">Zecdata</t>
  </si>
  <si>
    <t xml:space="preserve">BLR</t>
  </si>
  <si>
    <t xml:space="preserve">Awaiting Feedback(1)</t>
  </si>
  <si>
    <t xml:space="preserve">Prodian</t>
  </si>
  <si>
    <t xml:space="preserve">JFSR</t>
  </si>
  <si>
    <t xml:space="preserve">Chennai</t>
  </si>
  <si>
    <t xml:space="preserve">Profile Shared(1)</t>
  </si>
  <si>
    <t xml:space="preserve">REBIT</t>
  </si>
  <si>
    <t xml:space="preserve">Profile Rejected(6), Profile Shared(6), Final Select(3), Lost / Deferred(2), Interview(1)</t>
  </si>
  <si>
    <t xml:space="preserve">Mangalam</t>
  </si>
  <si>
    <t xml:space="preserve">Salesforce</t>
  </si>
  <si>
    <t xml:space="preserve">Ahmedabad</t>
  </si>
  <si>
    <t xml:space="preserve">Remote</t>
  </si>
  <si>
    <t xml:space="preserve">Profile Rejected(2), On Hold(1), Lost / Deferred(1)</t>
  </si>
  <si>
    <t xml:space="preserve">Innovation M</t>
  </si>
  <si>
    <t xml:space="preserve">Java </t>
  </si>
  <si>
    <t xml:space="preserve">Gurgaon</t>
  </si>
  <si>
    <t xml:space="preserve">On Hold(4), Profile Rejected(1)</t>
  </si>
  <si>
    <t xml:space="preserve">Xebia</t>
  </si>
  <si>
    <t xml:space="preserve">On Hold(2), Profile Rejected(1)</t>
  </si>
  <si>
    <t xml:space="preserve">Ahana IT</t>
  </si>
  <si>
    <t xml:space="preserve">Data Support Engineer</t>
  </si>
  <si>
    <t xml:space="preserve">Lost / Deferred(2), Final Select(1)</t>
  </si>
  <si>
    <t xml:space="preserve">Data Warehouse</t>
  </si>
  <si>
    <t xml:space="preserve">On Hold(1)</t>
  </si>
  <si>
    <t xml:space="preserve">NPCI</t>
  </si>
  <si>
    <t xml:space="preserve">SRE</t>
  </si>
  <si>
    <t xml:space="preserve">HYD</t>
  </si>
  <si>
    <t xml:space="preserve">Lost / Deferred(1), Screening Scheduled(1)</t>
  </si>
  <si>
    <t xml:space="preserve">Byteridge</t>
  </si>
  <si>
    <t xml:space="preserve">.Net </t>
  </si>
  <si>
    <t xml:space="preserve">No Show(1), On Hold(1), Profile Rejected(1)</t>
  </si>
  <si>
    <t xml:space="preserve">GeekyAnts</t>
  </si>
  <si>
    <t xml:space="preserve">Shortlisted(2), Profile Rejected(2)</t>
  </si>
  <si>
    <t xml:space="preserve">Profile Shared(2), Profile Rejected(1), Final Select(1)</t>
  </si>
  <si>
    <t xml:space="preserve">Mumbai</t>
  </si>
  <si>
    <t xml:space="preserve">Profile Shared(1), Profile Rejected(1), Interview(1)</t>
  </si>
  <si>
    <t xml:space="preserve">Profile Rejected(3), Shortlisted(1)</t>
  </si>
  <si>
    <t xml:space="preserve">React JS</t>
  </si>
  <si>
    <t xml:space="preserve">Profile Shared(3), Profile Rejected(1)</t>
  </si>
  <si>
    <t xml:space="preserve">Legistify</t>
  </si>
  <si>
    <t xml:space="preserve">MERN</t>
  </si>
  <si>
    <t xml:space="preserve">Profile Shared(4)</t>
  </si>
  <si>
    <t xml:space="preserve">Kognivera</t>
  </si>
  <si>
    <t xml:space="preserve">React</t>
  </si>
  <si>
    <t xml:space="preserve">Profile Shared(3), Awaiting Feedback(1)</t>
  </si>
  <si>
    <t xml:space="preserve">1CHB</t>
  </si>
  <si>
    <t xml:space="preserve">Node</t>
  </si>
  <si>
    <t xml:space="preserve">CHN</t>
  </si>
  <si>
    <t xml:space="preserve">On Hold(2), Lost / Deferred(1), Profile Rejected(1)</t>
  </si>
  <si>
    <t xml:space="preserve">Screening Scheduled(1), Profile Shared(1)</t>
  </si>
  <si>
    <t xml:space="preserve">XPO</t>
  </si>
  <si>
    <t xml:space="preserve">Python </t>
  </si>
  <si>
    <t xml:space="preserve">PUNE</t>
  </si>
  <si>
    <t xml:space="preserve">Utthunga</t>
  </si>
  <si>
    <t xml:space="preserve">.NET </t>
  </si>
  <si>
    <t xml:space="preserve">On Hold(1), Profile Rejected(1), Profile Shared(1)</t>
  </si>
  <si>
    <t xml:space="preserve">Java script</t>
  </si>
  <si>
    <t xml:space="preserve">Coverfox</t>
  </si>
  <si>
    <t xml:space="preserve">Android developer</t>
  </si>
  <si>
    <t xml:space="preserve">Bangalore</t>
  </si>
  <si>
    <t xml:space="preserve">Profile Rejected(2), profile rejected(1), Shortlisted(1)</t>
  </si>
  <si>
    <t xml:space="preserve">Smallday Tech</t>
  </si>
  <si>
    <t xml:space="preserve">AI/ML</t>
  </si>
  <si>
    <t xml:space="preserve">CLOSED</t>
  </si>
  <si>
    <t xml:space="preserve">Angular</t>
  </si>
  <si>
    <t xml:space="preserve">Onboarded(1)</t>
  </si>
  <si>
    <t xml:space="preserve">Python</t>
  </si>
  <si>
    <t xml:space="preserve">Onboarded(1), Offer Rejected(1), Lost / Deferred(1)</t>
  </si>
  <si>
    <t xml:space="preserve">Leena.ai</t>
  </si>
  <si>
    <t xml:space="preserve">QA</t>
  </si>
  <si>
    <t xml:space="preserve">OPEN POSITIONS BY ACCOUNT (rollup)</t>
  </si>
  <si>
    <t xml:space="preserve">Total Subs</t>
  </si>
  <si>
    <t xml:space="preserve">OPEN POSITIONS BY SKILL (rollup)</t>
  </si>
  <si>
    <t xml:space="preserve">.Net</t>
  </si>
  <si>
    <t xml:space="preserve">.NET</t>
  </si>
  <si>
    <t xml:space="preserve">BD Funnel — submission to onboard conversion</t>
  </si>
  <si>
    <t xml:space="preserve">Each row shows count and conversion rate from previous stage.</t>
  </si>
  <si>
    <t xml:space="preserve">Stage</t>
  </si>
  <si>
    <t xml:space="preserve">Count</t>
  </si>
  <si>
    <t xml:space="preserve">% of Total</t>
  </si>
  <si>
    <t xml:space="preserve">% of Previous</t>
  </si>
  <si>
    <t xml:space="preserve">—</t>
  </si>
  <si>
    <t xml:space="preserve">All BD entries</t>
  </si>
  <si>
    <t xml:space="preserve">Survived Profile Screening</t>
  </si>
  <si>
    <t xml:space="preserve">Got past initial profile rejection</t>
  </si>
  <si>
    <t xml:space="preserve">Reached Interview Stage</t>
  </si>
  <si>
    <t xml:space="preserve">Active in interview process or beyond</t>
  </si>
  <si>
    <t xml:space="preserve">Cleared Multiple Rounds</t>
  </si>
  <si>
    <t xml:space="preserve">Shortlisted or beyond</t>
  </si>
  <si>
    <t xml:space="preserve">Received Offer</t>
  </si>
  <si>
    <t xml:space="preserve">Offer made</t>
  </si>
  <si>
    <t xml:space="preserve">Accepted Offer</t>
  </si>
  <si>
    <t xml:space="preserve">Final Select + Onboarded (excludes Offer Rejected)</t>
  </si>
  <si>
    <t xml:space="preserve">Onboarded (Revenue)</t>
  </si>
  <si>
    <t xml:space="preserve">Generating revenue</t>
  </si>
  <si>
    <t xml:space="preserve">VISUAL FUNNEL</t>
  </si>
  <si>
    <t xml:space="preserve">Account Scorecard — per-client ROI</t>
  </si>
  <si>
    <t xml:space="preserve">Sorted manually by total submissions. Add accounts in column A as needed.</t>
  </si>
  <si>
    <t xml:space="preserve">Submissions</t>
  </si>
  <si>
    <t xml:space="preserve">Profile Rejected</t>
  </si>
  <si>
    <t xml:space="preserve">Final Select</t>
  </si>
  <si>
    <t xml:space="preserve">Reject Rate</t>
  </si>
  <si>
    <t xml:space="preserve">Onboard Rate</t>
  </si>
  <si>
    <t xml:space="preserve">Neosoft</t>
  </si>
  <si>
    <t xml:space="preserve">Tarams</t>
  </si>
  <si>
    <t xml:space="preserve">Deservely</t>
  </si>
  <si>
    <t xml:space="preserve">Bravura Solutions</t>
  </si>
  <si>
    <t xml:space="preserve">Medimpact</t>
  </si>
  <si>
    <t xml:space="preserve">TOTAL</t>
  </si>
  <si>
    <t xml:space="preserve">Skill Gap — bench supply vs market demand</t>
  </si>
  <si>
    <t xml:space="preserve">Demand = client requirements in BD Data. Supply = RFD bench resources.</t>
  </si>
  <si>
    <t xml:space="preserve">Demand (Requirements)</t>
  </si>
  <si>
    <t xml:space="preserve">Bench Supply (RFD)</t>
  </si>
  <si>
    <t xml:space="preserve">Gap</t>
  </si>
  <si>
    <t xml:space="preserve">Conversion %</t>
  </si>
  <si>
    <t xml:space="preserve">Action</t>
  </si>
  <si>
    <t xml:space="preserve">Aligned</t>
  </si>
  <si>
    <t xml:space="preserve">HIRE — high demand, no bench</t>
  </si>
  <si>
    <t xml:space="preserve">GoLang</t>
  </si>
  <si>
    <t xml:space="preserve">Watch</t>
  </si>
  <si>
    <t xml:space="preserve">Android</t>
  </si>
  <si>
    <t xml:space="preserve">Emerging</t>
  </si>
  <si>
    <t xml:space="preserve">Data Engineer</t>
  </si>
  <si>
    <t xml:space="preserve">BD Performance — per-BD/recruiter scorecard</t>
  </si>
  <si>
    <t xml:space="preserve">Bench Interview metrics for BDs (Bench Intv Data tab) and Market metrics for Recruiters (Market Intv Data tab).</t>
  </si>
  <si>
    <t xml:space="preserve">BENCH BDs (from Bench Intv Data)</t>
  </si>
  <si>
    <t xml:space="preserve">BD Name</t>
  </si>
  <si>
    <t xml:space="preserve">Done</t>
  </si>
  <si>
    <t xml:space="preserve">Rescheduled</t>
  </si>
  <si>
    <t xml:space="preserve">Selected</t>
  </si>
  <si>
    <t xml:space="preserve">Rejected</t>
  </si>
  <si>
    <t xml:space="preserve">Veeru</t>
  </si>
  <si>
    <t xml:space="preserve">Ruchitha</t>
  </si>
  <si>
    <t xml:space="preserve">Thanishka</t>
  </si>
  <si>
    <t xml:space="preserve">Phoenix</t>
  </si>
  <si>
    <t xml:space="preserve">Sadiya</t>
  </si>
  <si>
    <t xml:space="preserve">MARKET RECRUITERS (from Market Intv Data)</t>
  </si>
  <si>
    <t xml:space="preserve">Recruiter</t>
  </si>
  <si>
    <t xml:space="preserve">Reshma</t>
  </si>
  <si>
    <t xml:space="preserve">Apoorva</t>
  </si>
  <si>
    <t xml:space="preserve">Archana</t>
  </si>
  <si>
    <t xml:space="preserve">Roshini</t>
  </si>
  <si>
    <t xml:space="preserve">Hard-to-Place Watchlist — bench resources with high interview count</t>
  </si>
  <si>
    <t xml:space="preserve">Top resources by interview count from Bench Intv Data. Investigate why they're not placing.</t>
  </si>
  <si>
    <t xml:space="preserve">Resource Name</t>
  </si>
  <si>
    <t xml:space="preserve">Interview Count</t>
  </si>
  <si>
    <t xml:space="preserve">Selected (any)</t>
  </si>
  <si>
    <t xml:space="preserve">Rejected (any)</t>
  </si>
  <si>
    <t xml:space="preserve">Bench Status</t>
  </si>
  <si>
    <t xml:space="preserve">Bench Rating</t>
  </si>
  <si>
    <t xml:space="preserve">Bushra Sultana</t>
  </si>
  <si>
    <t xml:space="preserve">Mohammed Rehan Y</t>
  </si>
  <si>
    <t xml:space="preserve">Arpitha N</t>
  </si>
  <si>
    <t xml:space="preserve">Adoni Meenakshi Naidu</t>
  </si>
  <si>
    <t xml:space="preserve">Srinivas G</t>
  </si>
  <si>
    <t xml:space="preserve">Sandeep Kumar</t>
  </si>
  <si>
    <t xml:space="preserve">Rohan Paul</t>
  </si>
  <si>
    <t xml:space="preserve">Suramya S</t>
  </si>
  <si>
    <t xml:space="preserve">Bhaswat Abhishek Shandilya</t>
  </si>
  <si>
    <t xml:space="preserve">Vaishnavi Tandle</t>
  </si>
  <si>
    <t xml:space="preserve">Pooja Patil</t>
  </si>
  <si>
    <t xml:space="preserve">Deepak Kumar</t>
  </si>
  <si>
    <t xml:space="preserve">Nareshkannan N</t>
  </si>
  <si>
    <t xml:space="preserve">Shajeer Ali</t>
  </si>
  <si>
    <t xml:space="preserve">Sthita Prajna Satapathy</t>
  </si>
  <si>
    <t xml:space="preserve">Bench vs Market — sourcing head-to-head</t>
  </si>
  <si>
    <t xml:space="preserve">Compares outcomes by source from BD Data Source column.</t>
  </si>
  <si>
    <t xml:space="preserve">Metric</t>
  </si>
  <si>
    <t xml:space="preserve">Bench</t>
  </si>
  <si>
    <t xml:space="preserve">Market</t>
  </si>
  <si>
    <t xml:space="preserve">Verdict</t>
  </si>
  <si>
    <t xml:space="preserve">Final Selected</t>
  </si>
  <si>
    <t xml:space="preserve">Lost / Deferred</t>
  </si>
  <si>
    <t xml:space="preserve">CONVERSION RATES</t>
  </si>
  <si>
    <t xml:space="preserve">Profile Reject Rate</t>
  </si>
  <si>
    <t xml:space="preserve">Lost/Deferred Rate</t>
  </si>
  <si>
    <t xml:space="preserve">Active Pipeline %</t>
  </si>
  <si>
    <t xml:space="preserve">En. Date</t>
  </si>
  <si>
    <t xml:space="preserve">Sub Skill</t>
  </si>
  <si>
    <t xml:space="preserve">Exp.</t>
  </si>
  <si>
    <t xml:space="preserve">Budget LPM</t>
  </si>
  <si>
    <t xml:space="preserve">C. Typ</t>
  </si>
  <si>
    <t xml:space="preserve">C. Dur</t>
  </si>
  <si>
    <t xml:space="preserve">Wrk Mode</t>
  </si>
  <si>
    <t xml:space="preserve">Source</t>
  </si>
  <si>
    <t xml:space="preserve">Candidate</t>
  </si>
  <si>
    <t xml:space="preserve">LVL</t>
  </si>
  <si>
    <t xml:space="preserve">Scr/int Date</t>
  </si>
  <si>
    <t xml:space="preserve">5+</t>
  </si>
  <si>
    <t xml:space="preserve">C-C</t>
  </si>
  <si>
    <t xml:space="preserve">Shritee Das</t>
  </si>
  <si>
    <t xml:space="preserve">3+</t>
  </si>
  <si>
    <t xml:space="preserve">Sandipan Deb</t>
  </si>
  <si>
    <t xml:space="preserve">L3</t>
  </si>
  <si>
    <t xml:space="preserve">4+</t>
  </si>
  <si>
    <t xml:space="preserve">4/14/2026</t>
  </si>
  <si>
    <t xml:space="preserve">2+</t>
  </si>
  <si>
    <t xml:space="preserve">L1</t>
  </si>
  <si>
    <t xml:space="preserve">Awaiting Feedback</t>
  </si>
  <si>
    <t xml:space="preserve">4/17/2026</t>
  </si>
  <si>
    <t xml:space="preserve">Pradeep Kumar R</t>
  </si>
  <si>
    <t xml:space="preserve">Profile Shared</t>
  </si>
  <si>
    <t xml:space="preserve">8+</t>
  </si>
  <si>
    <t xml:space="preserve">Abhijeet Sengar</t>
  </si>
  <si>
    <t xml:space="preserve">L2</t>
  </si>
  <si>
    <t xml:space="preserve">Shubham Dahibhate</t>
  </si>
  <si>
    <t xml:space="preserve">Offer Rejected</t>
  </si>
  <si>
    <t xml:space="preserve">Shweta Pande</t>
  </si>
  <si>
    <t xml:space="preserve">Byteridge </t>
  </si>
  <si>
    <t xml:space="preserve">Java/GoLang</t>
  </si>
  <si>
    <t xml:space="preserve">Mahalakshmi T</t>
  </si>
  <si>
    <t xml:space="preserve">S1</t>
  </si>
  <si>
    <t xml:space="preserve">No Show</t>
  </si>
  <si>
    <t xml:space="preserve">Muhil Anirudh</t>
  </si>
  <si>
    <t xml:space="preserve">Soumyadeep Das</t>
  </si>
  <si>
    <t xml:space="preserve">NareshKannan N</t>
  </si>
  <si>
    <t xml:space="preserve">Vidhika D Sirwani</t>
  </si>
  <si>
    <t xml:space="preserve">4/20/2026</t>
  </si>
  <si>
    <t xml:space="preserve">Interview</t>
  </si>
  <si>
    <t xml:space="preserve">Suchetha J</t>
  </si>
  <si>
    <t xml:space="preserve">Cheluri Anand Reddy</t>
  </si>
  <si>
    <t xml:space="preserve">Aditya Vijay Barathe</t>
  </si>
  <si>
    <t xml:space="preserve">Aishwarya Digambar Saywan</t>
  </si>
  <si>
    <t xml:space="preserve">Tapas Kumar Paul</t>
  </si>
  <si>
    <t xml:space="preserve">Akshay Santosh Achalkar</t>
  </si>
  <si>
    <t xml:space="preserve">Rahul Kumar Ranjan</t>
  </si>
  <si>
    <t xml:space="preserve">Shakti Pratap Singh</t>
  </si>
  <si>
    <t xml:space="preserve">Material</t>
  </si>
  <si>
    <t xml:space="preserve">Netwrok Engineer</t>
  </si>
  <si>
    <t xml:space="preserve">DELHI</t>
  </si>
  <si>
    <t xml:space="preserve">Abhijeet Anand</t>
  </si>
  <si>
    <t xml:space="preserve">Girish mededar</t>
  </si>
  <si>
    <t xml:space="preserve">Arjit Pratap Singh</t>
  </si>
  <si>
    <t xml:space="preserve">Navdeep Singh</t>
  </si>
  <si>
    <t xml:space="preserve">On Hold</t>
  </si>
  <si>
    <t xml:space="preserve">Bontha Gowthami</t>
  </si>
  <si>
    <t xml:space="preserve">Suramya</t>
  </si>
  <si>
    <t xml:space="preserve">S2</t>
  </si>
  <si>
    <t xml:space="preserve">Raj Singh Bhadauria</t>
  </si>
  <si>
    <t xml:space="preserve">Pratibha Yogesh Kharwar</t>
  </si>
  <si>
    <t xml:space="preserve">Adoni</t>
  </si>
  <si>
    <t xml:space="preserve">Arpita</t>
  </si>
  <si>
    <t xml:space="preserve">Bushra</t>
  </si>
  <si>
    <t xml:space="preserve">Giriraj Santosh Wankhede</t>
  </si>
  <si>
    <t xml:space="preserve">Mahitha</t>
  </si>
  <si>
    <t xml:space="preserve">Sanket Bandal</t>
  </si>
  <si>
    <t xml:space="preserve">4/15/2026</t>
  </si>
  <si>
    <t xml:space="preserve">7+</t>
  </si>
  <si>
    <t xml:space="preserve">Shantanu Hingane</t>
  </si>
  <si>
    <t xml:space="preserve">Ruturaj Mane</t>
  </si>
  <si>
    <t xml:space="preserve">.Net FSD</t>
  </si>
  <si>
    <t xml:space="preserve">Requirement Received</t>
  </si>
  <si>
    <t xml:space="preserve">Salman Basha </t>
  </si>
  <si>
    <t xml:space="preserve">Sairam</t>
  </si>
  <si>
    <t xml:space="preserve">Screening Scheduled</t>
  </si>
  <si>
    <t xml:space="preserve">4/23/2026</t>
  </si>
  <si>
    <t xml:space="preserve">Gurugram</t>
  </si>
  <si>
    <t xml:space="preserve">Sunil K</t>
  </si>
  <si>
    <t xml:space="preserve">Ganesh S</t>
  </si>
  <si>
    <t xml:space="preserve">1+</t>
  </si>
  <si>
    <t xml:space="preserve">Vignesh R</t>
  </si>
  <si>
    <t xml:space="preserve">Sangeetha</t>
  </si>
  <si>
    <t xml:space="preserve">Parsuram Das</t>
  </si>
  <si>
    <t xml:space="preserve">Janani Muthuselvam</t>
  </si>
  <si>
    <t xml:space="preserve">NeoVeda Tech</t>
  </si>
  <si>
    <t xml:space="preserve">Aditya</t>
  </si>
  <si>
    <t xml:space="preserve">Anand</t>
  </si>
  <si>
    <t xml:space="preserve">Swapnil</t>
  </si>
  <si>
    <t xml:space="preserve">Sai Kowshik Keerthipati</t>
  </si>
  <si>
    <t xml:space="preserve">Abdul Wasiv H</t>
  </si>
  <si>
    <t xml:space="preserve">Saurabh Soni</t>
  </si>
  <si>
    <t xml:space="preserve">4/13/2026</t>
  </si>
  <si>
    <t xml:space="preserve">Bisweswar Das</t>
  </si>
  <si>
    <t xml:space="preserve">Ravish Singh</t>
  </si>
  <si>
    <t xml:space="preserve">Shubham</t>
  </si>
  <si>
    <t xml:space="preserve">Ellow.io</t>
  </si>
  <si>
    <t xml:space="preserve">Hybrid</t>
  </si>
  <si>
    <t xml:space="preserve">Trivandrum</t>
  </si>
  <si>
    <t xml:space="preserve">Shortlisted</t>
  </si>
  <si>
    <t xml:space="preserve">Swati G Madiwalar</t>
  </si>
  <si>
    <t xml:space="preserve">Manoj T</t>
  </si>
  <si>
    <t xml:space="preserve">Priyabrat</t>
  </si>
  <si>
    <t xml:space="preserve">Rahul Nagar</t>
  </si>
  <si>
    <t xml:space="preserve">Satyam Gupta</t>
  </si>
  <si>
    <t xml:space="preserve">Shekhar Lashkari</t>
  </si>
  <si>
    <t xml:space="preserve">Ajmal Hossain Sarkar</t>
  </si>
  <si>
    <t xml:space="preserve">Amit Rupwate</t>
  </si>
  <si>
    <t xml:space="preserve">Nikhil S</t>
  </si>
  <si>
    <t xml:space="preserve">Charitha Methri</t>
  </si>
  <si>
    <t xml:space="preserve">4/16/2026</t>
  </si>
  <si>
    <t xml:space="preserve">1,33,000/-</t>
  </si>
  <si>
    <t xml:space="preserve">Tirtha Jyoti Bol</t>
  </si>
  <si>
    <t xml:space="preserve">4/22/2026</t>
  </si>
  <si>
    <t xml:space="preserve">95,000/-</t>
  </si>
  <si>
    <t xml:space="preserve">Pratik Chunkikar</t>
  </si>
  <si>
    <t xml:space="preserve">Ashutosh Srivastava</t>
  </si>
  <si>
    <t xml:space="preserve">ARS Traffic  </t>
  </si>
  <si>
    <t xml:space="preserve">Requirement Shared</t>
  </si>
  <si>
    <t xml:space="preserve">Neo Soft</t>
  </si>
  <si>
    <t xml:space="preserve">Node.js</t>
  </si>
  <si>
    <t xml:space="preserve">Saurin Kumar Ghosh</t>
  </si>
  <si>
    <t xml:space="preserve">4/21/2026</t>
  </si>
  <si>
    <t xml:space="preserve">Paromita Biswas</t>
  </si>
  <si>
    <t xml:space="preserve">Drupal</t>
  </si>
  <si>
    <t xml:space="preserve">Ravindra Balkrushna Sonawane</t>
  </si>
  <si>
    <t xml:space="preserve">Pradip Jadhav</t>
  </si>
  <si>
    <t xml:space="preserve">Vinod Pal</t>
  </si>
  <si>
    <t xml:space="preserve">Ajithkumar M</t>
  </si>
  <si>
    <t xml:space="preserve">Syed Ahamed</t>
  </si>
  <si>
    <t xml:space="preserve">Samarpan Sarkar</t>
  </si>
  <si>
    <t xml:space="preserve">E Kiruthivaas</t>
  </si>
  <si>
    <t xml:space="preserve">Saransh Vijay</t>
  </si>
  <si>
    <t xml:space="preserve">Ajith R G</t>
  </si>
  <si>
    <t xml:space="preserve">Sukesh Kumar</t>
  </si>
  <si>
    <t xml:space="preserve">Lakku Jayaprakash Reddy</t>
  </si>
  <si>
    <t xml:space="preserve">M.Ajay Prasath</t>
  </si>
  <si>
    <t xml:space="preserve">J.kaviyasri</t>
  </si>
  <si>
    <t xml:space="preserve">Yokeeswaran M</t>
  </si>
  <si>
    <t xml:space="preserve">Puvivendhan.K</t>
  </si>
  <si>
    <t xml:space="preserve">Offshore</t>
  </si>
  <si>
    <t xml:space="preserve">Bathini gopinath</t>
  </si>
  <si>
    <t xml:space="preserve">Wins Mody </t>
  </si>
  <si>
    <t xml:space="preserve">4/18/2026</t>
  </si>
  <si>
    <t xml:space="preserve">Raghava Anand </t>
  </si>
  <si>
    <t xml:space="preserve">Minhaj T</t>
  </si>
  <si>
    <t xml:space="preserve">Tejas Kachave</t>
  </si>
  <si>
    <t xml:space="preserve">Sujata Bandigani</t>
  </si>
  <si>
    <t xml:space="preserve">Vinayaka</t>
  </si>
  <si>
    <t xml:space="preserve">Amar Maity</t>
  </si>
  <si>
    <t xml:space="preserve">B Pavan Kumar</t>
  </si>
  <si>
    <t xml:space="preserve">Maleppa B Karajol</t>
  </si>
  <si>
    <t xml:space="preserve">Jegan L</t>
  </si>
  <si>
    <t xml:space="preserve">Ashok Kumar M</t>
  </si>
  <si>
    <t xml:space="preserve">Mohammed Rihan</t>
  </si>
  <si>
    <t xml:space="preserve">Mumbai </t>
  </si>
  <si>
    <t xml:space="preserve">Kapil Kumar Patel</t>
  </si>
  <si>
    <t xml:space="preserve">Nitesh Somanwad</t>
  </si>
  <si>
    <t xml:space="preserve">Mahesh Khot</t>
  </si>
  <si>
    <t xml:space="preserve">Vidya M</t>
  </si>
  <si>
    <t xml:space="preserve">Kamal Deep Thakur</t>
  </si>
  <si>
    <t xml:space="preserve">profile rejected</t>
  </si>
  <si>
    <t xml:space="preserve">Pruthviraju N</t>
  </si>
  <si>
    <t xml:space="preserve">Dhanushya</t>
  </si>
  <si>
    <t xml:space="preserve">Reflections</t>
  </si>
  <si>
    <t xml:space="preserve">Chaitanya Pusapati</t>
  </si>
  <si>
    <t xml:space="preserve">Shamily</t>
  </si>
  <si>
    <t xml:space="preserve">Anas Shaikh</t>
  </si>
  <si>
    <t xml:space="preserve">Furkan Ali Zafari</t>
  </si>
  <si>
    <t xml:space="preserve">No</t>
  </si>
  <si>
    <t xml:space="preserve">Batch</t>
  </si>
  <si>
    <t xml:space="preserve">Rating</t>
  </si>
  <si>
    <t xml:space="preserve">Name</t>
  </si>
  <si>
    <t xml:space="preserve">Contact Number</t>
  </si>
  <si>
    <t xml:space="preserve">Official Mail ID</t>
  </si>
  <si>
    <t xml:space="preserve">Personal Mail ID</t>
  </si>
  <si>
    <t xml:space="preserve">YOE - A</t>
  </si>
  <si>
    <t xml:space="preserve">YOE - P</t>
  </si>
  <si>
    <t xml:space="preserve">Skill Set</t>
  </si>
  <si>
    <t xml:space="preserve">No of Interviews</t>
  </si>
  <si>
    <t xml:space="preserve">YOP</t>
  </si>
  <si>
    <t xml:space="preserve">17th Apr 2025</t>
  </si>
  <si>
    <t xml:space="preserve">RFD</t>
  </si>
  <si>
    <t xml:space="preserve">Asset</t>
  </si>
  <si>
    <t xml:space="preserve">NA</t>
  </si>
  <si>
    <t xml:space="preserve">kharwarpy@rknec.edu</t>
  </si>
  <si>
    <t xml:space="preserve">Java + SB</t>
  </si>
  <si>
    <t xml:space="preserve">16th Jun 2025</t>
  </si>
  <si>
    <t xml:space="preserve">furkan201296@gmail.com</t>
  </si>
  <si>
    <t xml:space="preserve">reddyanand1403@gmail.com</t>
  </si>
  <si>
    <t xml:space="preserve">23rd Jun 2025</t>
  </si>
  <si>
    <t xml:space="preserve">Medium</t>
  </si>
  <si>
    <t xml:space="preserve">dev.kiruthi@gmail.com</t>
  </si>
  <si>
    <t xml:space="preserve">jananivm06@gmail.com</t>
  </si>
  <si>
    <t xml:space="preserve">Rahul Shibi S A</t>
  </si>
  <si>
    <t xml:space="preserve">rahulshibi22@gmail.com</t>
  </si>
  <si>
    <t xml:space="preserve">16th Jul 2025</t>
  </si>
  <si>
    <t xml:space="preserve">Lialibility</t>
  </si>
  <si>
    <t xml:space="preserve">lakkujayaprakash@gmail.com</t>
  </si>
  <si>
    <t xml:space="preserve">manojthangarajm@gmail.com</t>
  </si>
  <si>
    <t xml:space="preserve">WFD</t>
  </si>
  <si>
    <t xml:space="preserve">poojachapatil@gmail.com</t>
  </si>
  <si>
    <t xml:space="preserve">rajsinghbhadauria194@gmail.com</t>
  </si>
  <si>
    <t xml:space="preserve">Sudha Kumari Gurung</t>
  </si>
  <si>
    <t xml:space="preserve">Sudhagrg2102@gmail.com</t>
  </si>
  <si>
    <t xml:space="preserve">Aamir Abdullah Khan</t>
  </si>
  <si>
    <t xml:space="preserve">aamirkhan19994u@gmail.com</t>
  </si>
  <si>
    <t xml:space="preserve">paromitabiswas60@gmail.com</t>
  </si>
  <si>
    <t xml:space="preserve">15th Sept 2025</t>
  </si>
  <si>
    <t xml:space="preserve">Md Ekhlak</t>
  </si>
  <si>
    <t xml:space="preserve">mdekhlak2410@gmail.com</t>
  </si>
  <si>
    <t xml:space="preserve">samarpansarkar209@gmail.com</t>
  </si>
  <si>
    <t xml:space="preserve">Sudarshan Girigoudar</t>
  </si>
  <si>
    <t xml:space="preserve">sudug1008@gmail.com</t>
  </si>
  <si>
    <t xml:space="preserve">Chandana V</t>
  </si>
  <si>
    <t xml:space="preserve">chandanagowda129@gmail.com</t>
  </si>
  <si>
    <t xml:space="preserve">Abhigyan Jain</t>
  </si>
  <si>
    <t xml:space="preserve">abhigyan24jain@gmail.com</t>
  </si>
  <si>
    <t xml:space="preserve">Goutam Sunil Vankudre</t>
  </si>
  <si>
    <t xml:space="preserve">vankudregoutam15@gmail.com</t>
  </si>
  <si>
    <t xml:space="preserve">Mahesh Shrikant Masal</t>
  </si>
  <si>
    <t xml:space="preserve">masalms106@gmail.com</t>
  </si>
  <si>
    <t xml:space="preserve">Omkar Pankaj Konde</t>
  </si>
  <si>
    <t xml:space="preserve">omkarkonde8830@gmail.com</t>
  </si>
  <si>
    <t xml:space="preserve">shubh2270334@gmail.com</t>
  </si>
  <si>
    <t xml:space="preserve">17th Oct 2025</t>
  </si>
  <si>
    <t xml:space="preserve">Kunda Venkata Krishnaveni</t>
  </si>
  <si>
    <t xml:space="preserve">venkatakrishnavenikunda@gmail.com</t>
  </si>
  <si>
    <t xml:space="preserve">Umamaheshwara N</t>
  </si>
  <si>
    <t xml:space="preserve">umeshumesh0904@gmail.com</t>
  </si>
  <si>
    <t xml:space="preserve">rohanxxzy@gmail.com</t>
  </si>
  <si>
    <t xml:space="preserve">bushrasultana08@gmail.com</t>
  </si>
  <si>
    <t xml:space="preserve">Keerthana Sivaprakash</t>
  </si>
  <si>
    <t xml:space="preserve">Keerthanasivaprakash2001@gmail.com</t>
  </si>
  <si>
    <t xml:space="preserve">Dileepkumar M</t>
  </si>
  <si>
    <t xml:space="preserve">dileepu574@gmail.com</t>
  </si>
  <si>
    <t xml:space="preserve">Guruprakash G</t>
  </si>
  <si>
    <t xml:space="preserve">goooogleguru96@gmail.com</t>
  </si>
  <si>
    <t xml:space="preserve">vaishnavitandle2@gmail.com</t>
  </si>
  <si>
    <t xml:space="preserve">Vaishnavi</t>
  </si>
  <si>
    <t xml:space="preserve">hokranavaishnavi2@gmail.com</t>
  </si>
  <si>
    <t xml:space="preserve">D Sendhan</t>
  </si>
  <si>
    <t xml:space="preserve">sendhan.55@gmail.com</t>
  </si>
  <si>
    <t xml:space="preserve">Chaitanyakumar Arjun Gadagaigol</t>
  </si>
  <si>
    <t xml:space="preserve">div000dj@gmail.com</t>
  </si>
  <si>
    <t xml:space="preserve">Bandlapalli Rakesh Reddy</t>
  </si>
  <si>
    <t xml:space="preserve">rakeshreddy261002@gmail.com</t>
  </si>
  <si>
    <t xml:space="preserve">Vishal Kumar</t>
  </si>
  <si>
    <t xml:space="preserve">Vkvishalkr29@gmail.com</t>
  </si>
  <si>
    <t xml:space="preserve">Chaithra B</t>
  </si>
  <si>
    <t xml:space="preserve">chaithramb21@gmail.com</t>
  </si>
  <si>
    <t xml:space="preserve">29th Dec 2025</t>
  </si>
  <si>
    <t xml:space="preserve">Rakshith R</t>
  </si>
  <si>
    <t xml:space="preserve">rakshithrnrn@gmail.com</t>
  </si>
  <si>
    <t xml:space="preserve">Shreya Tripathi</t>
  </si>
  <si>
    <t xml:space="preserve">shreyatripathi783@gmail.com</t>
  </si>
  <si>
    <t xml:space="preserve">Souraj Das</t>
  </si>
  <si>
    <t xml:space="preserve">sourajdas15@gmail.com</t>
  </si>
  <si>
    <t xml:space="preserve">15th Dec 2025</t>
  </si>
  <si>
    <t xml:space="preserve">Manoranjan Das</t>
  </si>
  <si>
    <t xml:space="preserve">dmanoranjan090@gmail.com</t>
  </si>
  <si>
    <t xml:space="preserve">Bissaihgari Janardhan Reddy</t>
  </si>
  <si>
    <t xml:space="preserve">bsjanardhanreddy@gmail.com</t>
  </si>
  <si>
    <t xml:space="preserve">Sana Jagdish Sachdeva</t>
  </si>
  <si>
    <t xml:space="preserve">Sana.sachdeva04@gmail.com</t>
  </si>
  <si>
    <t xml:space="preserve">Arijit Sow</t>
  </si>
  <si>
    <t xml:space="preserve">arijit.sow@gmail.com</t>
  </si>
  <si>
    <t xml:space="preserve">Suresh</t>
  </si>
  <si>
    <t xml:space="preserve">sureshaydnal@gmail.com</t>
  </si>
  <si>
    <t xml:space="preserve">budurupavankumar268@gmail.com</t>
  </si>
  <si>
    <t xml:space="preserve">Mayank Sinha</t>
  </si>
  <si>
    <t xml:space="preserve">mayank.s119698@gmail.com</t>
  </si>
  <si>
    <t xml:space="preserve">Vaibhav Sen</t>
  </si>
  <si>
    <t xml:space="preserve">senvaibhav36@gmail.com</t>
  </si>
  <si>
    <t xml:space="preserve">Tanmoy Pramanick</t>
  </si>
  <si>
    <t xml:space="preserve">pramanickt15@gmail.com</t>
  </si>
  <si>
    <t xml:space="preserve">B2B</t>
  </si>
  <si>
    <t xml:space="preserve">abhishek.shandilya@testyantra.in</t>
  </si>
  <si>
    <t xml:space="preserve">Shandilya.bhaswat@gmail.com</t>
  </si>
  <si>
    <t xml:space="preserve">Subhajit Saha</t>
  </si>
  <si>
    <t xml:space="preserve">subhajit.s@testyantra.in</t>
  </si>
  <si>
    <t xml:space="preserve">1999subhajitsaha@gmail.com</t>
  </si>
  <si>
    <t xml:space="preserve">vidhika.d@testyantra.in</t>
  </si>
  <si>
    <t xml:space="preserve">vidhika1543@gmail.com</t>
  </si>
  <si>
    <t xml:space="preserve">tapas.k@testyantra.in</t>
  </si>
  <si>
    <t xml:space="preserve">tapaspaul6262@gmail.com</t>
  </si>
  <si>
    <t xml:space="preserve">Rahul Rajan Baskaran</t>
  </si>
  <si>
    <t xml:space="preserve">rahul.r@testyantra.co.in</t>
  </si>
  <si>
    <t xml:space="preserve">brahulrajan0506@gmail.com</t>
  </si>
  <si>
    <t xml:space="preserve">deepak.kumar@testyantra.in</t>
  </si>
  <si>
    <t xml:space="preserve">deepakmehta2401@gmail.com</t>
  </si>
  <si>
    <t xml:space="preserve">akshay.s@testyantra.co.in</t>
  </si>
  <si>
    <t xml:space="preserve">akshayachalkar@gmail.com</t>
  </si>
  <si>
    <t xml:space="preserve">shajeer.a@testyantra.in</t>
  </si>
  <si>
    <t xml:space="preserve">shajeerali.saleem@gmail.com</t>
  </si>
  <si>
    <t xml:space="preserve">sthita.p@testyantra.co.in</t>
  </si>
  <si>
    <t xml:space="preserve">sthitaprajna9938@gmail.com</t>
  </si>
  <si>
    <t xml:space="preserve">soumyadeep.d@testyantra.co.in</t>
  </si>
  <si>
    <t xml:space="preserve">soumyaon7@gmail.com</t>
  </si>
  <si>
    <t xml:space="preserve">swati.g@testyantra.co.in</t>
  </si>
  <si>
    <t xml:space="preserve">swatigmadiwalar@gmail.com</t>
  </si>
  <si>
    <t xml:space="preserve">ganesh.s@testyantra.co.in</t>
  </si>
  <si>
    <t xml:space="preserve">ganeshthegan5237@gmail.com</t>
  </si>
  <si>
    <t xml:space="preserve">naresh.n@testyantra.in</t>
  </si>
  <si>
    <t xml:space="preserve">nareshkannan.n2000@gmail.com</t>
  </si>
  <si>
    <t xml:space="preserve">Varshini R</t>
  </si>
  <si>
    <t xml:space="preserve">varshini.r@testyantra.com</t>
  </si>
  <si>
    <t xml:space="preserve">varshiniravi1729@gmail.com</t>
  </si>
  <si>
    <t xml:space="preserve">aditya.vb@testyantra.in</t>
  </si>
  <si>
    <t xml:space="preserve">adityabarathe9@gmail.com</t>
  </si>
  <si>
    <t xml:space="preserve">arpitha.n01@testyantra.in</t>
  </si>
  <si>
    <t xml:space="preserve">arpithanarayana1998@gmail.com</t>
  </si>
  <si>
    <t xml:space="preserve">adonimeenakshi.n@testyantra.in</t>
  </si>
  <si>
    <t xml:space="preserve">meenakshinaidua@gmail.com</t>
  </si>
  <si>
    <t xml:space="preserve">mohammed.r@testyantra.co.in</t>
  </si>
  <si>
    <t xml:space="preserve">md.rehan7@yahoo.com</t>
  </si>
  <si>
    <t xml:space="preserve">sandeep.k@testyantra.co.in</t>
  </si>
  <si>
    <t xml:space="preserve">kumarsandeep.se@gmail.com</t>
  </si>
  <si>
    <t xml:space="preserve">ravindra.b@testyantra.in</t>
  </si>
  <si>
    <t xml:space="preserve">sonawaner52@gmail.com</t>
  </si>
  <si>
    <t xml:space="preserve">DOB</t>
  </si>
  <si>
    <t xml:space="preserve">pradeep.r@testyantra.in</t>
  </si>
  <si>
    <t xml:space="preserve">rpradeep0102@gmail.com</t>
  </si>
  <si>
    <t xml:space="preserve">suramya.s@testyantra.co.in</t>
  </si>
  <si>
    <t xml:space="preserve">suramyas1998@gmail.com</t>
  </si>
  <si>
    <t xml:space="preserve">Niranjan Balaji N</t>
  </si>
  <si>
    <t xml:space="preserve">niranjan.b@testyantra.co.in</t>
  </si>
  <si>
    <t xml:space="preserve">niranjanbalaji1801@gmail.com</t>
  </si>
  <si>
    <t xml:space="preserve">ajith.rg@testyantra.in</t>
  </si>
  <si>
    <t xml:space="preserve">ajithrg24@gmail.com</t>
  </si>
  <si>
    <t xml:space="preserve">sunil.k@testyantra.in</t>
  </si>
  <si>
    <t xml:space="preserve">sunilsksuni46@gmail.com</t>
  </si>
  <si>
    <t xml:space="preserve">sukesh.k@testyantra.in</t>
  </si>
  <si>
    <t xml:space="preserve">sukeshkr8791@gmail.com</t>
  </si>
  <si>
    <t xml:space="preserve">saurin.k@testyantra.com</t>
  </si>
  <si>
    <t xml:space="preserve">sauringhosh1@gmail.com</t>
  </si>
  <si>
    <t xml:space="preserve">saransh.v@testyantra.in</t>
  </si>
  <si>
    <t xml:space="preserve">saransh.vijay@gmail.com</t>
  </si>
  <si>
    <t xml:space="preserve">Priyanka Ramnath Belote</t>
  </si>
  <si>
    <t xml:space="preserve">priyanka.r@testyantra.in</t>
  </si>
  <si>
    <t xml:space="preserve">priyankabelote1996@gmail.com</t>
  </si>
  <si>
    <t xml:space="preserve">Date</t>
  </si>
  <si>
    <t xml:space="preserve">Time</t>
  </si>
  <si>
    <t xml:space="preserve">Resources Name</t>
  </si>
  <si>
    <t xml:space="preserve">Client Name</t>
  </si>
  <si>
    <t xml:space="preserve">Assigned To</t>
  </si>
  <si>
    <t xml:space="preserve">Sample Questions</t>
  </si>
  <si>
    <t xml:space="preserve">Feedback</t>
  </si>
  <si>
    <t xml:space="preserve">Prodian(L-1)</t>
  </si>
  <si>
    <t xml:space="preserve">Sumeet</t>
  </si>
  <si>
    <t xml:space="preserve">Expand My Business(L-5)</t>
  </si>
  <si>
    <t xml:space="preserve">Expand My Business(L-1)</t>
  </si>
  <si>
    <t xml:space="preserve">Abhijit</t>
  </si>
  <si>
    <t xml:space="preserve">InnovationM(Screening)</t>
  </si>
  <si>
    <t xml:space="preserve">Screening</t>
  </si>
  <si>
    <t xml:space="preserve">Selected Screening</t>
  </si>
  <si>
    <t xml:space="preserve">Expand My Business(Screening)</t>
  </si>
  <si>
    <t xml:space="preserve">XPO(L-1)</t>
  </si>
  <si>
    <t xml:space="preserve">Selected L2</t>
  </si>
  <si>
    <t xml:space="preserve">Kiruthivaas E</t>
  </si>
  <si>
    <t xml:space="preserve">Rejected Screening</t>
  </si>
  <si>
    <t xml:space="preserve">InnovationM(L-1)</t>
  </si>
  <si>
    <t xml:space="preserve">Selected L1</t>
  </si>
  <si>
    <t xml:space="preserve">Selected L5</t>
  </si>
  <si>
    <t xml:space="preserve">Rejected L1</t>
  </si>
  <si>
    <t xml:space="preserve">Xebia(L-1)</t>
  </si>
  <si>
    <t xml:space="preserve">Medimpact(Online Test)</t>
  </si>
  <si>
    <t xml:space="preserve">Sameer</t>
  </si>
  <si>
    <t xml:space="preserve">Online Test</t>
  </si>
  <si>
    <t xml:space="preserve">XPO(L-2)</t>
  </si>
  <si>
    <t xml:space="preserve">Selected Online Test</t>
  </si>
  <si>
    <t xml:space="preserve">Ariprasath</t>
  </si>
  <si>
    <t xml:space="preserve">Keerthana S</t>
  </si>
  <si>
    <t xml:space="preserve">Medimpact(L-1)</t>
  </si>
  <si>
    <t xml:space="preserve">Rejected Online Test</t>
  </si>
  <si>
    <t xml:space="preserve">Rebit(L-1)</t>
  </si>
  <si>
    <t xml:space="preserve">Medimpact(L-2)</t>
  </si>
  <si>
    <t xml:space="preserve">Rebit(L-2)</t>
  </si>
  <si>
    <t xml:space="preserve">Rejected L2</t>
  </si>
  <si>
    <t xml:space="preserve">Geeky Ants(L-2)</t>
  </si>
  <si>
    <t xml:space="preserve">Zecdata(Screening)</t>
  </si>
  <si>
    <t xml:space="preserve">F2F</t>
  </si>
  <si>
    <t xml:space="preserve">Medimpact(L-3 HR)</t>
  </si>
  <si>
    <t xml:space="preserve">Rejected F2F</t>
  </si>
  <si>
    <t xml:space="preserve">Vaishnavi Hokrana</t>
  </si>
  <si>
    <t xml:space="preserve">Zecdata(AI Screening)</t>
  </si>
  <si>
    <t xml:space="preserve">AI screening</t>
  </si>
  <si>
    <t xml:space="preserve">Geeky Ants(L-3 F2F)</t>
  </si>
  <si>
    <t xml:space="preserve">Selected F2F</t>
  </si>
  <si>
    <t xml:space="preserve">Hurix(Screening)</t>
  </si>
  <si>
    <t xml:space="preserve">Waiting for Update</t>
  </si>
  <si>
    <t xml:space="preserve">Geeky Ants(L-1)</t>
  </si>
  <si>
    <t xml:space="preserve">Zecdata(L-2)</t>
  </si>
  <si>
    <t xml:space="preserve">Zecdata(L-1)</t>
  </si>
  <si>
    <t xml:space="preserve">Medimpact(L-3 F2F)</t>
  </si>
  <si>
    <t xml:space="preserve">Selected L3</t>
  </si>
  <si>
    <t xml:space="preserve">Zecdata(Client Screening)</t>
  </si>
  <si>
    <t xml:space="preserve">Manjunath</t>
  </si>
  <si>
    <t xml:space="preserve">Ajith RG</t>
  </si>
  <si>
    <t xml:space="preserve">Rohith Raj</t>
  </si>
  <si>
    <t xml:space="preserve">Not Applicable</t>
  </si>
  <si>
    <t xml:space="preserve">Kognivera(L-1)</t>
  </si>
  <si>
    <t xml:space="preserve">Zecdata(Client Prep Call)</t>
  </si>
  <si>
    <t xml:space="preserve">Prep Call</t>
  </si>
  <si>
    <t xml:space="preserve">Medimpact(L-4 HR)</t>
  </si>
  <si>
    <t xml:space="preserve">Selected L4 HR</t>
  </si>
  <si>
    <t xml:space="preserve">Pavan Kumar Buduru</t>
  </si>
  <si>
    <t xml:space="preserve">Rebit(L-3)</t>
  </si>
  <si>
    <t xml:space="preserve">Deservely(Screening)</t>
  </si>
  <si>
    <t xml:space="preserve">Deservely(L-1)</t>
  </si>
  <si>
    <t xml:space="preserve">Kognivera(L-2)</t>
  </si>
  <si>
    <t xml:space="preserve">Xebia(L-2)</t>
  </si>
  <si>
    <t xml:space="preserve">Shreya</t>
  </si>
  <si>
    <t xml:space="preserve">Lakku Jaya Prakash Reddy</t>
  </si>
  <si>
    <t xml:space="preserve">Xebia(L-3)</t>
  </si>
  <si>
    <t xml:space="preserve">Candidate Name</t>
  </si>
  <si>
    <t xml:space="preserve">Client</t>
  </si>
  <si>
    <t xml:space="preserve">Skills</t>
  </si>
  <si>
    <t xml:space="preserve">AhanaIT</t>
  </si>
  <si>
    <t xml:space="preserve">Data Engineering Support</t>
  </si>
  <si>
    <t xml:space="preserve">L1 Reject</t>
  </si>
  <si>
    <t xml:space="preserve">A P Bhuvanesh</t>
  </si>
  <si>
    <t xml:space="preserve">ARM</t>
  </si>
  <si>
    <t xml:space="preserve">SAP O2C</t>
  </si>
  <si>
    <t xml:space="preserve">L2 Reject</t>
  </si>
  <si>
    <t xml:space="preserve">Abhishek Dwivedi</t>
  </si>
  <si>
    <t xml:space="preserve">GreenTube</t>
  </si>
  <si>
    <t xml:space="preserve">Playwright Automation</t>
  </si>
  <si>
    <t xml:space="preserve">L1 Select , Client Hold</t>
  </si>
  <si>
    <t xml:space="preserve">Sathish</t>
  </si>
  <si>
    <t xml:space="preserve">Vyvpar</t>
  </si>
  <si>
    <t xml:space="preserve">Android Developer</t>
  </si>
  <si>
    <t xml:space="preserve">L1 Completed, no updates from client</t>
  </si>
  <si>
    <t xml:space="preserve">Piyush Kesarwani</t>
  </si>
  <si>
    <t xml:space="preserve">Final select-Joinee no show</t>
  </si>
  <si>
    <t xml:space="preserve">Abhishek Shivanand Biradar</t>
  </si>
  <si>
    <t xml:space="preserve">SAP SD</t>
  </si>
  <si>
    <t xml:space="preserve">Swapnil Zende</t>
  </si>
  <si>
    <t xml:space="preserve">Sunitha</t>
  </si>
  <si>
    <t xml:space="preserve">Saksoft</t>
  </si>
  <si>
    <t xml:space="preserve">Sushant</t>
  </si>
  <si>
    <t xml:space="preserve">Backend Developer</t>
  </si>
  <si>
    <t xml:space="preserve">Mahalakshmi</t>
  </si>
  <si>
    <t xml:space="preserve">Harshada Bamnote</t>
  </si>
  <si>
    <t xml:space="preserve">Lionbridge</t>
  </si>
  <si>
    <t xml:space="preserve">Dot net Fullstack</t>
  </si>
  <si>
    <t xml:space="preserve">L1-Select</t>
  </si>
  <si>
    <t xml:space="preserve">Jerry Robinson J</t>
  </si>
  <si>
    <t xml:space="preserve">Golang</t>
  </si>
  <si>
    <t xml:space="preserve">Python+Golang</t>
  </si>
  <si>
    <t xml:space="preserve">L1 Select</t>
  </si>
  <si>
    <t xml:space="preserve">1Cloudhub</t>
  </si>
  <si>
    <t xml:space="preserve">Backend Developer Node+Next</t>
  </si>
  <si>
    <t xml:space="preserve">L1 Scheduled</t>
  </si>
  <si>
    <t xml:space="preserve">L1 Completed Feedback pending</t>
  </si>
  <si>
    <t xml:space="preserve">Wins Mody</t>
  </si>
  <si>
    <t xml:space="preserve">Raghava Anand</t>
  </si>
  <si>
    <t xml:space="preserve">No show</t>
  </si>
  <si>
    <t xml:space="preserve">Pradip</t>
  </si>
  <si>
    <t xml:space="preserve">Python Developer</t>
  </si>
  <si>
    <t xml:space="preserve">L1-Reject</t>
  </si>
  <si>
    <t xml:space="preserve">Muhammed Ali H</t>
  </si>
  <si>
    <t xml:space="preserve">Dot net Developer</t>
  </si>
  <si>
    <t xml:space="preserve">Accepted another offer</t>
  </si>
  <si>
    <t xml:space="preserve">Sajin Sadasivan</t>
  </si>
  <si>
    <t xml:space="preserve">Dint happen, No laptop</t>
  </si>
  <si>
    <t xml:space="preserve">Vinayakam</t>
  </si>
  <si>
    <t xml:space="preserve">Uthunga</t>
  </si>
  <si>
    <t xml:space="preserve">.Net Developer</t>
  </si>
  <si>
    <t xml:space="preserve">1!:30 AM</t>
  </si>
  <si>
    <t xml:space="preserve">L1 Completed</t>
  </si>
  <si>
    <t xml:space="preserve">BD Operations Dashboard — How to use</t>
  </si>
  <si>
    <t xml:space="preserve">Purpose</t>
  </si>
  <si>
    <t xml:space="preserve">Standalone analytics dashboard derived from BD_DAR.xlsx. Gives executive view + 6 deep-dive tabs.</t>
  </si>
  <si>
    <t xml:space="preserve">Tabs in this workbook</t>
  </si>
  <si>
    <t xml:space="preserve">1. Executive Summary</t>
  </si>
  <si>
    <t xml:space="preserve">TOP-LINE KPIs + 'Story in 3 numbers' + 8 takeaways. Open this first in CEO meetings.</t>
  </si>
  <si>
    <t xml:space="preserve">2. BD Funnel</t>
  </si>
  <si>
    <t xml:space="preserve">Submission → Profile Shared → Interview → Shortlisted → Selected → Onboarded with conversion at each stage.</t>
  </si>
  <si>
    <t xml:space="preserve">3. Account Scorecard</t>
  </si>
  <si>
    <t xml:space="preserve">Per-client breakdown: submissions, onboards, reject rate, onboard rate. Sorted by total submissions.</t>
  </si>
  <si>
    <t xml:space="preserve">4. Skill Gap</t>
  </si>
  <si>
    <t xml:space="preserve">Demand from BD vs Supply on bench. Flags HIRE recommendations for skills with no bench.</t>
  </si>
  <si>
    <t xml:space="preserve">5. BD Performance</t>
  </si>
  <si>
    <t xml:space="preserve">Per-BD interview metrics (Veeru, Ruchitha etc) + per-Recruiter market metrics (Reshma, Apoorva etc).</t>
  </si>
  <si>
    <t xml:space="preserve">6. Hard-to-Place</t>
  </si>
  <si>
    <t xml:space="preserve">Resources with most interviews who haven't placed. Includes their bench status &amp; rating.</t>
  </si>
  <si>
    <t xml:space="preserve">7. Bench vs Market</t>
  </si>
  <si>
    <t xml:space="preserve">Side-by-side sourcing comparison with conversion rates.</t>
  </si>
  <si>
    <t xml:space="preserve">8-11. *_Data tabs</t>
  </si>
  <si>
    <t xml:space="preserve">Source data copied from BD_DAR. UPDATE THESE to refresh the dashboard.</t>
  </si>
  <si>
    <t xml:space="preserve">How to refresh data</t>
  </si>
  <si>
    <t xml:space="preserve">Step 1</t>
  </si>
  <si>
    <t xml:space="preserve">Open BD_DAR.xlsx and the relevant source sheet (BD / Bench / Bench Interview / Market Interview).</t>
  </si>
  <si>
    <t xml:space="preserve">Step 2</t>
  </si>
  <si>
    <t xml:space="preserve">Copy the data range (no headers, just the rows below row 1).</t>
  </si>
  <si>
    <t xml:space="preserve">Step 3</t>
  </si>
  <si>
    <t xml:space="preserve">Paste into the corresponding *_Data tab here, starting at row 2. Overwrite existing data.</t>
  </si>
  <si>
    <t xml:space="preserve">Step 4</t>
  </si>
  <si>
    <t xml:space="preserve">All dashboard tabs auto-update. Press F9 if calculations don't refresh immediately.</t>
  </si>
  <si>
    <t xml:space="preserve">Step 5</t>
  </si>
  <si>
    <t xml:space="preserve">If row count grows beyond original, you may need to extend formula ranges (currently set to current row counts).</t>
  </si>
  <si>
    <t xml:space="preserve">Colour code</t>
  </si>
  <si>
    <t xml:space="preserve">Yellow</t>
  </si>
  <si>
    <t xml:space="preserve">Input / action cell — type here</t>
  </si>
  <si>
    <t xml:space="preserve">Light gray</t>
  </si>
  <si>
    <t xml:space="preserve">Auto-calculated — don't type</t>
  </si>
  <si>
    <t xml:space="preserve">Green</t>
  </si>
  <si>
    <t xml:space="preserve">Good (high onboard rate, asset bench, aligned skill, bench leads)</t>
  </si>
  <si>
    <t xml:space="preserve">Amber</t>
  </si>
  <si>
    <t xml:space="preserve">Watch (medium rating, gap warning)</t>
  </si>
  <si>
    <t xml:space="preserve">Red</t>
  </si>
  <si>
    <t xml:space="preserve">Bad (high reject rate, hire-needed skill, liability)</t>
  </si>
  <si>
    <t xml:space="preserve">Gold</t>
  </si>
  <si>
    <t xml:space="preserve">Section header / important callout</t>
  </si>
  <si>
    <t xml:space="preserve">Limitations</t>
  </si>
  <si>
    <t xml:space="preserve">Data freshness</t>
  </si>
  <si>
    <t xml:space="preserve">Dashboard reflects whatever is in *_Data tabs. Refresh weekly minimum.</t>
  </si>
  <si>
    <t xml:space="preserve">Skill matching</t>
  </si>
  <si>
    <t xml:space="preserve">Uses partial-text matching (e.g. 'Java' matches 'Java + SB' and 'Java/GoLang'). May overcount in edge cases.</t>
  </si>
  <si>
    <t xml:space="preserve">Account list</t>
  </si>
  <si>
    <t xml:space="preserve">Account Scorecard only shows accounts I pre-loaded. Add new ones in column A as they appear in BD.</t>
  </si>
  <si>
    <t xml:space="preserve">Data quality</t>
  </si>
  <si>
    <t xml:space="preserve">Some BD rows have inconsistent capitalisation ('Profile Rejected' vs 'profile rejected'). I count both, but cleaning the source improves accuracy.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</si>
</sst>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.0%"/>
    <numFmt numFmtId="167" formatCode="0.00"/>
    <numFmt numFmtId="168" formatCode="0.0"/>
    <numFmt numFmtId="169" formatCode="0"/>
    <numFmt numFmtId="170" formatCode="#,##0.0"/>
    <numFmt numFmtId="171" formatCode="dd\-mmm\-yyyy"/>
    <numFmt numFmtId="172" formatCode="yyyy\-mm\-dd\ h:mm:ss"/>
    <numFmt numFmtId="173" formatCode="h:mm:ss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24"/>
      <color rgb="FF006100"/>
      <name val="Arial"/>
      <family val="0"/>
      <charset val="1"/>
    </font>
    <font>
      <b val="true"/>
      <sz val="24"/>
      <color rgb="FF1F3864"/>
      <name val="Arial"/>
      <family val="0"/>
      <charset val="1"/>
    </font>
    <font>
      <b val="true"/>
      <sz val="24"/>
      <color rgb="FF9C0006"/>
      <name val="Arial"/>
      <family val="0"/>
      <charset val="1"/>
    </font>
    <font>
      <b val="true"/>
      <sz val="24"/>
      <color rgb="FF9C5700"/>
      <name val="Arial"/>
      <family val="0"/>
      <charset val="1"/>
    </font>
    <font>
      <b val="true"/>
      <sz val="14"/>
      <color rgb="FF006100"/>
      <name val="Courier New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E75B6"/>
      <name val="Courier Ne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E1F2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31.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</row>
    <row r="7" customFormat="false" ht="36" hidden="false" customHeight="true" outlineLevel="0" collapsed="false">
      <c r="A7" s="7" t="n">
        <f aca="false">COUNTA('BD Data'!A2:A165)</f>
        <v>162</v>
      </c>
      <c r="B7" s="7" t="n">
        <f aca="true">COUNTIFS('BD Data'!A2:A165,"&gt;="&amp;DATE(YEAR(TODAY()),MONTH(TODAY()),1),'BD Data'!A2:A165,"&lt;="&amp;EOMONTH(TODAY(),0))</f>
        <v>154</v>
      </c>
      <c r="C7" s="7" t="n">
        <f aca="false">COUNTIF('BD Data'!N2:N165,"Onboarded")</f>
        <v>4</v>
      </c>
      <c r="D7" s="8" t="n">
        <f aca="false">IFERROR(C7/A7,0)</f>
        <v>0.0246913580246914</v>
      </c>
      <c r="E7" s="7" t="n">
        <f aca="false">COUNTIF('BD Data'!N2:N165,"Profile Shared")+COUNTIF('BD Data'!N2:N165,"Screening Scheduled")+COUNTIF('BD Data'!N2:N165,"Interview")+COUNTIF('BD Data'!N2:N165,"Shortlisted")+COUNTIF('BD Data'!N2:N165,"On Hold")+COUNTIF('BD Data'!N2:N165,"Awaiting Feedback")+COUNTIF('BD Data'!N2:N165,"Final Select")</f>
        <v>56</v>
      </c>
      <c r="F7" s="7" t="n">
        <f aca="false">COUNTIF('Bench Data'!D2:D78,"RFD")</f>
        <v>70</v>
      </c>
      <c r="G7" s="7" t="n">
        <f aca="false">COUNTA('Bench Intv Data'!A2:A135)+COUNTA('Market Intv Data'!A2:A36)</f>
        <v>169</v>
      </c>
      <c r="H7" s="8" t="n">
        <f aca="false">IFERROR(SUMPRODUCT(ISNUMBER(SEARCH("Selected",'Bench Intv Data'!I2:I135))*1)/(SUMPRODUCT(ISNUMBER(SEARCH("Selected",'Bench Intv Data'!I2:I135))*1)+SUMPRODUCT(ISNUMBER(SEARCH("Rejected",'Bench Intv Data'!I2:I135))*1)),0)</f>
        <v>0.65979381443299</v>
      </c>
    </row>
    <row r="9" customFormat="false" ht="15" hidden="false" customHeight="true" outlineLevel="0" collapsed="false">
      <c r="A9" s="5" t="s">
        <v>12</v>
      </c>
      <c r="B9" s="5"/>
      <c r="C9" s="5"/>
      <c r="D9" s="5"/>
      <c r="E9" s="5"/>
      <c r="F9" s="5"/>
      <c r="G9" s="5"/>
      <c r="H9" s="5"/>
    </row>
    <row r="10" customFormat="false" ht="15" hidden="false" customHeight="true" outlineLevel="0" collapsed="false">
      <c r="A10" s="9" t="s">
        <v>13</v>
      </c>
      <c r="B10" s="9"/>
      <c r="C10" s="9"/>
      <c r="D10" s="9" t="s">
        <v>14</v>
      </c>
      <c r="E10" s="9"/>
      <c r="F10" s="9"/>
      <c r="G10" s="9" t="s">
        <v>15</v>
      </c>
      <c r="H10" s="9"/>
      <c r="I10" s="9"/>
    </row>
    <row r="11" customFormat="false" ht="15" hidden="false" customHeight="true" outlineLevel="0" collapsed="false">
      <c r="A11" s="10" t="s">
        <v>16</v>
      </c>
      <c r="B11" s="10"/>
      <c r="C11" s="10"/>
      <c r="D11" s="10" t="s">
        <v>17</v>
      </c>
      <c r="E11" s="10"/>
      <c r="F11" s="10"/>
      <c r="G11" s="10" t="s">
        <v>18</v>
      </c>
      <c r="H11" s="10"/>
      <c r="I11" s="10"/>
    </row>
    <row r="12" customFormat="false" ht="31.5" hidden="false" customHeight="true" outlineLevel="0" collapsed="false">
      <c r="A12" s="11" t="n">
        <f aca="false">COUNTIFS('BD Data'!K2:K165,"Bench",'BD Data'!N2:N165,"Onboarded")</f>
        <v>4</v>
      </c>
      <c r="B12" s="12" t="s">
        <v>19</v>
      </c>
      <c r="C12" s="11" t="n">
        <f aca="false">COUNTIF('BD Data'!K2:K165,"Bench")</f>
        <v>88</v>
      </c>
      <c r="D12" s="11" t="n">
        <f aca="false">COUNTIFS('BD Data'!K2:K165,"Market",'BD Data'!N2:N165,"Onboarded")</f>
        <v>0</v>
      </c>
      <c r="E12" s="12" t="s">
        <v>19</v>
      </c>
      <c r="F12" s="11" t="n">
        <f aca="false">COUNTIF('BD Data'!K2:K165,"Market")</f>
        <v>66</v>
      </c>
      <c r="G12" s="11" t="n">
        <f aca="false">COUNTIF('BD Data'!N2:N165,"Profile Rejected")</f>
        <v>56</v>
      </c>
      <c r="H12" s="12" t="s">
        <v>19</v>
      </c>
      <c r="I12" s="11" t="n">
        <f aca="false">A7</f>
        <v>162</v>
      </c>
    </row>
    <row r="13" customFormat="false" ht="24" hidden="false" customHeight="true" outlineLevel="0" collapsed="false">
      <c r="A13" s="13" t="n">
        <f aca="false">IFERROR(A12/C12,0)</f>
        <v>0.0454545454545455</v>
      </c>
      <c r="B13" s="13"/>
      <c r="C13" s="13"/>
      <c r="D13" s="13" t="n">
        <f aca="false">IFERROR(D12/F12,0)</f>
        <v>0</v>
      </c>
      <c r="E13" s="13"/>
      <c r="F13" s="13"/>
      <c r="G13" s="13" t="n">
        <f aca="false">IFERROR(G12/I12,0)</f>
        <v>0.345679012345679</v>
      </c>
      <c r="H13" s="13"/>
      <c r="I13" s="13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</row>
    <row r="16" customFormat="false" ht="19.5" hidden="false" customHeight="true" outlineLevel="0" collapsed="false">
      <c r="A16" s="14" t="s">
        <v>21</v>
      </c>
      <c r="B16" s="14"/>
      <c r="C16" s="14"/>
      <c r="D16" s="14"/>
      <c r="E16" s="14"/>
      <c r="F16" s="14"/>
      <c r="G16" s="14"/>
      <c r="H16" s="14"/>
    </row>
    <row r="17" customFormat="false" ht="19.5" hidden="false" customHeight="true" outlineLevel="0" collapsed="false">
      <c r="A17" s="14" t="s">
        <v>22</v>
      </c>
      <c r="B17" s="14"/>
      <c r="C17" s="14"/>
      <c r="D17" s="14"/>
      <c r="E17" s="14"/>
      <c r="F17" s="14"/>
      <c r="G17" s="14"/>
      <c r="H17" s="14"/>
    </row>
    <row r="18" customFormat="false" ht="19.5" hidden="false" customHeight="true" outlineLevel="0" collapsed="false">
      <c r="A18" s="14" t="s">
        <v>23</v>
      </c>
      <c r="B18" s="14"/>
      <c r="C18" s="14"/>
      <c r="D18" s="14"/>
      <c r="E18" s="14"/>
      <c r="F18" s="14"/>
      <c r="G18" s="14"/>
      <c r="H18" s="14"/>
    </row>
    <row r="19" customFormat="false" ht="19.5" hidden="false" customHeight="true" outlineLevel="0" collapsed="false">
      <c r="A19" s="14" t="s">
        <v>24</v>
      </c>
      <c r="B19" s="14"/>
      <c r="C19" s="14"/>
      <c r="D19" s="14"/>
      <c r="E19" s="14"/>
      <c r="F19" s="14"/>
      <c r="G19" s="14"/>
      <c r="H19" s="14"/>
    </row>
    <row r="20" customFormat="false" ht="19.5" hidden="false" customHeight="true" outlineLevel="0" collapsed="false">
      <c r="A20" s="14" t="s">
        <v>25</v>
      </c>
      <c r="B20" s="14"/>
      <c r="C20" s="14"/>
      <c r="D20" s="14"/>
      <c r="E20" s="14"/>
      <c r="F20" s="14"/>
      <c r="G20" s="14"/>
      <c r="H20" s="14"/>
    </row>
    <row r="21" customFormat="false" ht="19.5" hidden="false" customHeight="true" outlineLevel="0" collapsed="false">
      <c r="A21" s="14" t="s">
        <v>26</v>
      </c>
      <c r="B21" s="14"/>
      <c r="C21" s="14"/>
      <c r="D21" s="14"/>
      <c r="E21" s="14"/>
      <c r="F21" s="14"/>
      <c r="G21" s="14"/>
      <c r="H21" s="14"/>
    </row>
    <row r="22" customFormat="false" ht="19.5" hidden="false" customHeight="true" outlineLevel="0" collapsed="false">
      <c r="A22" s="14" t="s">
        <v>27</v>
      </c>
      <c r="B22" s="14"/>
      <c r="C22" s="14"/>
      <c r="D22" s="14"/>
      <c r="E22" s="14"/>
      <c r="F22" s="14"/>
      <c r="G22" s="14"/>
      <c r="H22" s="14"/>
    </row>
    <row r="23" customFormat="false" ht="19.5" hidden="false" customHeight="true" outlineLevel="0" collapsed="false">
      <c r="A23" s="14" t="s">
        <v>28</v>
      </c>
      <c r="B23" s="14"/>
      <c r="C23" s="14"/>
      <c r="D23" s="14"/>
      <c r="E23" s="14"/>
      <c r="F23" s="14"/>
      <c r="G23" s="14"/>
      <c r="H23" s="14"/>
    </row>
    <row r="25" customFormat="false" ht="24" hidden="false" customHeight="true" outlineLevel="0" collapsed="false">
      <c r="A25" s="15" t="s">
        <v>29</v>
      </c>
      <c r="B25" s="15"/>
      <c r="C25" s="15"/>
      <c r="D25" s="15"/>
      <c r="E25" s="15"/>
      <c r="F25" s="15"/>
      <c r="G25" s="15"/>
      <c r="H25" s="15"/>
    </row>
  </sheetData>
  <mergeCells count="24">
    <mergeCell ref="A1:H1"/>
    <mergeCell ref="A2:H2"/>
    <mergeCell ref="A3:H3"/>
    <mergeCell ref="A5:H5"/>
    <mergeCell ref="A9:H9"/>
    <mergeCell ref="A10:C10"/>
    <mergeCell ref="D10:F10"/>
    <mergeCell ref="G10:I10"/>
    <mergeCell ref="A11:C11"/>
    <mergeCell ref="D11:F11"/>
    <mergeCell ref="G11:I11"/>
    <mergeCell ref="A13:C13"/>
    <mergeCell ref="D13:F13"/>
    <mergeCell ref="G13:I13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5:H25"/>
  </mergeCells>
  <conditionalFormatting sqref="D7">
    <cfRule type="cellIs" priority="2" operator="greaterThanOrEqual" aboveAverage="0" equalAverage="0" bottom="0" percent="0" rank="0" text="" dxfId="0">
      <formula>0.05</formula>
    </cfRule>
    <cfRule type="cellIs" priority="3" operator="lessThan" aboveAverage="0" equalAverage="0" bottom="0" percent="0" rank="0" text="" dxfId="1">
      <formula>0.03</formula>
    </cfRule>
  </conditionalFormatting>
  <conditionalFormatting sqref="H7">
    <cfRule type="cellIs" priority="4" operator="greaterThanOrEqual" aboveAverage="0" equalAverage="0" bottom="0" percent="0" rank="0" text="" dxfId="0">
      <formula>0.6</formula>
    </cfRule>
    <cfRule type="cellIs" priority="5" operator="lessThan" aboveAverage="0" equalAverage="0" bottom="0" percent="0" rank="0" text="" dxfId="1">
      <formula>0.4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  <col collapsed="false" customWidth="true" hidden="false" outlineLevel="0" max="6" min="6" style="0" width="22"/>
    <col collapsed="false" customWidth="true" hidden="false" outlineLevel="0" max="8" min="7" style="0" width="14"/>
  </cols>
  <sheetData>
    <row r="1" customFormat="false" ht="22.05" hidden="false" customHeight="false" outlineLevel="0" collapsed="false">
      <c r="A1" s="16" t="s">
        <v>30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17" t="s">
        <v>31</v>
      </c>
      <c r="B2" s="17"/>
      <c r="C2" s="17"/>
      <c r="D2" s="17"/>
      <c r="E2" s="17"/>
      <c r="F2" s="17"/>
      <c r="G2" s="17"/>
      <c r="H2" s="17"/>
    </row>
    <row r="4" customFormat="false" ht="15" hidden="false" customHeight="false" outlineLevel="0" collapsed="false">
      <c r="A4" s="18" t="s">
        <v>32</v>
      </c>
      <c r="B4" s="19" t="n">
        <v>15</v>
      </c>
      <c r="D4" s="18" t="s">
        <v>33</v>
      </c>
      <c r="E4" s="19" t="n">
        <v>29</v>
      </c>
    </row>
    <row r="6" customFormat="false" ht="15" hidden="false" customHeight="false" outlineLevel="0" collapsed="false">
      <c r="A6" s="20" t="s">
        <v>34</v>
      </c>
      <c r="B6" s="20"/>
      <c r="C6" s="20"/>
      <c r="D6" s="20"/>
      <c r="E6" s="20"/>
      <c r="F6" s="20"/>
      <c r="G6" s="20"/>
      <c r="H6" s="20"/>
    </row>
    <row r="7" customFormat="false" ht="31.5" hidden="false" customHeight="true" outlineLevel="0" collapsed="false">
      <c r="A7" s="6" t="s">
        <v>35</v>
      </c>
      <c r="B7" s="6" t="s">
        <v>36</v>
      </c>
      <c r="C7" s="6" t="s">
        <v>37</v>
      </c>
      <c r="D7" s="6" t="s">
        <v>38</v>
      </c>
      <c r="E7" s="6" t="s">
        <v>39</v>
      </c>
      <c r="F7" s="6" t="s">
        <v>40</v>
      </c>
    </row>
    <row r="8" customFormat="false" ht="37.5" hidden="false" customHeight="true" outlineLevel="0" collapsed="false">
      <c r="A8" s="21" t="n">
        <f aca="false">COUNTIF('BD Data'!N2:N165,"Onboarded")</f>
        <v>4</v>
      </c>
      <c r="B8" s="22" t="n">
        <f aca="false">B4</f>
        <v>15</v>
      </c>
      <c r="C8" s="23" t="n">
        <f aca="false">IFERROR(A8/B8,0)</f>
        <v>0.266666666666667</v>
      </c>
      <c r="D8" s="24" t="n">
        <f aca="false">B8-A8</f>
        <v>11</v>
      </c>
      <c r="E8" s="22" t="n">
        <f aca="false">COUNTIF('BD Data'!N2:N165,"Final Select")</f>
        <v>6</v>
      </c>
      <c r="F8" s="25" t="n">
        <f aca="false">A8+E8</f>
        <v>10</v>
      </c>
    </row>
    <row r="10" customFormat="false" ht="17.9" hidden="false" customHeight="false" outlineLevel="0" collapsed="false">
      <c r="A10" s="18" t="s">
        <v>41</v>
      </c>
      <c r="B10" s="26" t="str">
        <f aca="false">REPT("█",A8)&amp;REPT("░",MAX(0,B8-A8))</f>
        <v>████░░░░░░░░░░░</v>
      </c>
      <c r="C10" s="26"/>
      <c r="D10" s="26"/>
      <c r="E10" s="26"/>
      <c r="F10" s="26"/>
      <c r="G10" s="26"/>
      <c r="H10" s="26"/>
    </row>
    <row r="12" customFormat="false" ht="15" hidden="false" customHeight="false" outlineLevel="0" collapsed="false">
      <c r="A12" s="20" t="s">
        <v>42</v>
      </c>
      <c r="B12" s="20"/>
      <c r="C12" s="20"/>
      <c r="D12" s="20"/>
      <c r="E12" s="20"/>
      <c r="F12" s="20"/>
      <c r="G12" s="20"/>
      <c r="H12" s="20"/>
    </row>
    <row r="13" customFormat="false" ht="31.5" hidden="false" customHeight="true" outlineLevel="0" collapsed="false">
      <c r="A13" s="6" t="s">
        <v>43</v>
      </c>
      <c r="B13" s="6" t="s">
        <v>44</v>
      </c>
      <c r="C13" s="6" t="s">
        <v>37</v>
      </c>
      <c r="D13" s="6" t="s">
        <v>45</v>
      </c>
      <c r="E13" s="6" t="s">
        <v>46</v>
      </c>
      <c r="F13" s="6" t="s">
        <v>47</v>
      </c>
    </row>
    <row r="14" customFormat="false" ht="37.5" hidden="false" customHeight="true" outlineLevel="0" collapsed="false">
      <c r="A14" s="27" t="n">
        <f aca="false">SUMIFS(Positions!L10:L39,Positions!B10:B39,"CLOSED")/100</f>
        <v>0.3</v>
      </c>
      <c r="B14" s="28" t="n">
        <f aca="false">E4</f>
        <v>29</v>
      </c>
      <c r="C14" s="23" t="n">
        <f aca="false">IFERROR(A14/B14,0)</f>
        <v>0.0103448275862069</v>
      </c>
      <c r="D14" s="29" t="n">
        <f aca="false">B14-A14</f>
        <v>28.7</v>
      </c>
      <c r="E14" s="30" t="n">
        <f aca="false">SUMIFS(Positions!L10:L39,Positions!B10:B39,"OPEN")/100</f>
        <v>1.692</v>
      </c>
      <c r="F14" s="30" t="n">
        <f aca="false">A14+E14</f>
        <v>1.992</v>
      </c>
    </row>
    <row r="16" customFormat="false" ht="17.9" hidden="false" customHeight="false" outlineLevel="0" collapsed="false">
      <c r="A16" s="18" t="s">
        <v>41</v>
      </c>
      <c r="B16" s="26" t="str">
        <f aca="false">REPT("█",ROUND(C14*30,0))&amp;REPT("░",MAX(0,30-ROUND(C14*30,0)))</f>
        <v>░░░░░░░░░░░░░░░░░░░░░░░░░░░░░░</v>
      </c>
      <c r="C16" s="26"/>
      <c r="D16" s="26"/>
      <c r="E16" s="26"/>
      <c r="F16" s="26"/>
      <c r="G16" s="26"/>
      <c r="H16" s="26"/>
    </row>
    <row r="18" customFormat="false" ht="15" hidden="false" customHeight="false" outlineLevel="0" collapsed="false">
      <c r="A18" s="20" t="s">
        <v>48</v>
      </c>
      <c r="B18" s="20"/>
      <c r="C18" s="20"/>
      <c r="D18" s="20"/>
      <c r="E18" s="20"/>
      <c r="F18" s="20"/>
      <c r="G18" s="20"/>
      <c r="H18" s="20"/>
    </row>
    <row r="19" customFormat="false" ht="15" hidden="false" customHeight="true" outlineLevel="0" collapsed="false">
      <c r="A19" s="31" t="s">
        <v>49</v>
      </c>
      <c r="B19" s="31"/>
      <c r="C19" s="31"/>
      <c r="D19" s="31"/>
      <c r="E19" s="32" t="s">
        <v>50</v>
      </c>
      <c r="F19" s="32"/>
      <c r="G19" s="32"/>
      <c r="H19" s="32"/>
    </row>
    <row r="20" customFormat="false" ht="15" hidden="false" customHeight="true" outlineLevel="0" collapsed="false">
      <c r="A20" s="31" t="s">
        <v>51</v>
      </c>
      <c r="B20" s="31"/>
      <c r="C20" s="31"/>
      <c r="D20" s="31"/>
      <c r="E20" s="32" t="n">
        <v>2</v>
      </c>
      <c r="F20" s="32"/>
      <c r="G20" s="32"/>
      <c r="H20" s="32"/>
    </row>
    <row r="21" customFormat="false" ht="15" hidden="false" customHeight="true" outlineLevel="0" collapsed="false">
      <c r="A21" s="31" t="s">
        <v>52</v>
      </c>
      <c r="B21" s="31"/>
      <c r="C21" s="31"/>
      <c r="D21" s="31"/>
      <c r="E21" s="33" t="n">
        <f aca="false">A8/2</f>
        <v>2</v>
      </c>
      <c r="F21" s="33"/>
      <c r="G21" s="33"/>
      <c r="H21" s="33"/>
    </row>
    <row r="22" customFormat="false" ht="15" hidden="false" customHeight="true" outlineLevel="0" collapsed="false">
      <c r="A22" s="31" t="s">
        <v>53</v>
      </c>
      <c r="B22" s="31"/>
      <c r="C22" s="31"/>
      <c r="D22" s="31"/>
      <c r="E22" s="33" t="n">
        <f aca="false">(B4-A8)/MAX(1,12-2)</f>
        <v>1.1</v>
      </c>
      <c r="F22" s="33"/>
      <c r="G22" s="33"/>
      <c r="H22" s="33"/>
    </row>
    <row r="23" customFormat="false" ht="15" hidden="false" customHeight="true" outlineLevel="0" collapsed="false">
      <c r="A23" s="31" t="s">
        <v>54</v>
      </c>
      <c r="B23" s="31"/>
      <c r="C23" s="31"/>
      <c r="D23" s="31"/>
      <c r="E23" s="34" t="n">
        <f aca="false">A14/2</f>
        <v>0.15</v>
      </c>
      <c r="F23" s="34"/>
      <c r="G23" s="34"/>
      <c r="H23" s="34"/>
    </row>
    <row r="24" customFormat="false" ht="15" hidden="false" customHeight="true" outlineLevel="0" collapsed="false">
      <c r="A24" s="31" t="s">
        <v>55</v>
      </c>
      <c r="B24" s="31"/>
      <c r="C24" s="31"/>
      <c r="D24" s="31"/>
      <c r="E24" s="34" t="n">
        <f aca="false">(E4-A14)/MAX(1,12-2)</f>
        <v>2.87</v>
      </c>
      <c r="F24" s="34"/>
      <c r="G24" s="34"/>
      <c r="H24" s="34"/>
    </row>
    <row r="26" customFormat="false" ht="15" hidden="false" customHeight="false" outlineLevel="0" collapsed="false">
      <c r="A26" s="20" t="s">
        <v>56</v>
      </c>
      <c r="B26" s="20"/>
      <c r="C26" s="20"/>
      <c r="D26" s="20"/>
      <c r="E26" s="20"/>
      <c r="F26" s="20"/>
      <c r="G26" s="20"/>
      <c r="H26" s="20"/>
    </row>
    <row r="27" customFormat="false" ht="15" hidden="false" customHeight="false" outlineLevel="0" collapsed="false">
      <c r="A27" s="31" t="s">
        <v>57</v>
      </c>
      <c r="B27" s="35" t="str">
        <f aca="false">IF(C8&gt;=2/12,"ON TRACK ✓",IF(C8&gt;=2/12*0.7,"BEHIND — needs push","FAR BEHIND — escalate"))</f>
        <v>ON TRACK ✓</v>
      </c>
      <c r="C27" s="35"/>
      <c r="D27" s="35"/>
      <c r="E27" s="35"/>
      <c r="F27" s="35"/>
      <c r="G27" s="35"/>
      <c r="H27" s="35"/>
    </row>
    <row r="28" customFormat="false" ht="15" hidden="false" customHeight="false" outlineLevel="0" collapsed="false">
      <c r="A28" s="31" t="s">
        <v>58</v>
      </c>
      <c r="B28" s="35" t="str">
        <f aca="false">IF(C14&gt;=2/12,"ON TRACK ✓",IF(C14&gt;=2/12*0.7,"BEHIND — needs push","FAR BEHIND — escalate"))</f>
        <v>FAR BEHIND — escalate</v>
      </c>
      <c r="C28" s="35"/>
      <c r="D28" s="35"/>
      <c r="E28" s="35"/>
      <c r="F28" s="35"/>
      <c r="G28" s="35"/>
      <c r="H28" s="35"/>
    </row>
    <row r="30" customFormat="false" ht="15" hidden="false" customHeight="false" outlineLevel="0" collapsed="false">
      <c r="A30" s="20" t="s">
        <v>59</v>
      </c>
      <c r="B30" s="20"/>
      <c r="C30" s="20"/>
      <c r="D30" s="20"/>
      <c r="E30" s="20"/>
      <c r="F30" s="20"/>
      <c r="G30" s="20"/>
      <c r="H30" s="20"/>
    </row>
    <row r="31" customFormat="false" ht="26.85" hidden="false" customHeight="false" outlineLevel="0" collapsed="false">
      <c r="A31" s="36" t="s">
        <v>60</v>
      </c>
      <c r="B31" s="36" t="s">
        <v>61</v>
      </c>
      <c r="C31" s="36" t="s">
        <v>62</v>
      </c>
      <c r="D31" s="36" t="s">
        <v>63</v>
      </c>
      <c r="E31" s="36" t="s">
        <v>64</v>
      </c>
    </row>
    <row r="32" customFormat="false" ht="15" hidden="false" customHeight="false" outlineLevel="0" collapsed="false">
      <c r="A32" s="37" t="s">
        <v>65</v>
      </c>
      <c r="B32" s="38" t="n">
        <v>3</v>
      </c>
      <c r="C32" s="39" t="n">
        <v>24</v>
      </c>
      <c r="D32" s="38" t="n">
        <v>3</v>
      </c>
      <c r="E32" s="40" t="n">
        <v>0.24</v>
      </c>
    </row>
    <row r="33" customFormat="false" ht="15" hidden="false" customHeight="false" outlineLevel="0" collapsed="false">
      <c r="A33" s="37" t="s">
        <v>66</v>
      </c>
      <c r="B33" s="38" t="n">
        <v>1</v>
      </c>
      <c r="C33" s="39" t="n">
        <v>6</v>
      </c>
      <c r="D33" s="38" t="n">
        <v>4</v>
      </c>
      <c r="E33" s="40" t="n">
        <v>0.3</v>
      </c>
    </row>
  </sheetData>
  <mergeCells count="23">
    <mergeCell ref="A1:H1"/>
    <mergeCell ref="A2:H2"/>
    <mergeCell ref="A6:H6"/>
    <mergeCell ref="B10:H10"/>
    <mergeCell ref="A12:H12"/>
    <mergeCell ref="B16:H16"/>
    <mergeCell ref="A18:H18"/>
    <mergeCell ref="A19:D19"/>
    <mergeCell ref="E19:H19"/>
    <mergeCell ref="A20:D20"/>
    <mergeCell ref="E20:H20"/>
    <mergeCell ref="A21:D21"/>
    <mergeCell ref="E21:H21"/>
    <mergeCell ref="A22:D22"/>
    <mergeCell ref="E22:H22"/>
    <mergeCell ref="A23:D23"/>
    <mergeCell ref="E23:H23"/>
    <mergeCell ref="A24:D24"/>
    <mergeCell ref="E24:H24"/>
    <mergeCell ref="A26:H26"/>
    <mergeCell ref="B27:H27"/>
    <mergeCell ref="B28:H28"/>
    <mergeCell ref="A30:H30"/>
  </mergeCells>
  <conditionalFormatting sqref="C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C14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27">
    <cfRule type="cellIs" priority="4" operator="equal" aboveAverage="0" equalAverage="0" bottom="0" percent="0" rank="0" text="" dxfId="2">
      <formula>"ON TRACK ✓"</formula>
    </cfRule>
    <cfRule type="cellIs" priority="5" operator="equal" aboveAverage="0" equalAverage="0" bottom="0" percent="0" rank="0" text="" dxfId="3">
      <formula>"BEHIND — needs push"</formula>
    </cfRule>
    <cfRule type="cellIs" priority="6" operator="equal" aboveAverage="0" equalAverage="0" bottom="0" percent="0" rank="0" text="" dxfId="4">
      <formula>"FAR BEHIND — escalate"</formula>
    </cfRule>
  </conditionalFormatting>
  <conditionalFormatting sqref="B28">
    <cfRule type="cellIs" priority="7" operator="equal" aboveAverage="0" equalAverage="0" bottom="0" percent="0" rank="0" text="" dxfId="2">
      <formula>"ON TRACK ✓"</formula>
    </cfRule>
    <cfRule type="cellIs" priority="8" operator="equal" aboveAverage="0" equalAverage="0" bottom="0" percent="0" rank="0" text="" dxfId="3">
      <formula>"BEHIND — needs push"</formula>
    </cfRule>
    <cfRule type="cellIs" priority="9" operator="equal" aboveAverage="0" equalAverage="0" bottom="0" percent="0" rank="0" text="" dxfId="4">
      <formula>"FAR BEHIND — escalate"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38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22.05" hidden="false" customHeight="false" outlineLevel="0" collapsed="false">
      <c r="A1" s="16" t="s">
        <v>67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customFormat="false" ht="15" hidden="false" customHeight="false" outlineLevel="0" collapsed="false">
      <c r="A2" s="17" t="s">
        <v>68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customFormat="false" ht="15" hidden="false" customHeight="false" outlineLevel="0" collapsed="false">
      <c r="A3" s="41" t="s">
        <v>69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5" customFormat="false" ht="15" hidden="false" customHeight="false" outlineLevel="0" collapsed="false">
      <c r="A5" s="20" t="s">
        <v>70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31.5" hidden="false" customHeight="true" outlineLevel="0" collapsed="false">
      <c r="A6" s="6" t="s">
        <v>71</v>
      </c>
      <c r="B6" s="6" t="s">
        <v>72</v>
      </c>
      <c r="C6" s="6" t="s">
        <v>73</v>
      </c>
      <c r="D6" s="6" t="s">
        <v>74</v>
      </c>
      <c r="E6" s="6" t="s">
        <v>75</v>
      </c>
      <c r="F6" s="6" t="s">
        <v>76</v>
      </c>
      <c r="G6" s="6" t="s">
        <v>77</v>
      </c>
    </row>
    <row r="7" customFormat="false" ht="36" hidden="false" customHeight="true" outlineLevel="0" collapsed="false">
      <c r="A7" s="42" t="n">
        <v>26</v>
      </c>
      <c r="B7" s="42" t="n">
        <v>4</v>
      </c>
      <c r="C7" s="42" t="n">
        <v>89</v>
      </c>
      <c r="D7" s="42" t="n">
        <v>185</v>
      </c>
      <c r="E7" s="43" t="n">
        <v>14.8</v>
      </c>
      <c r="F7" s="44" t="n">
        <v>169.2</v>
      </c>
      <c r="G7" s="44" t="n">
        <v>30</v>
      </c>
    </row>
    <row r="9" customFormat="false" ht="31.5" hidden="false" customHeight="true" outlineLevel="0" collapsed="false">
      <c r="A9" s="36" t="s">
        <v>78</v>
      </c>
      <c r="B9" s="36" t="s">
        <v>79</v>
      </c>
      <c r="C9" s="36" t="s">
        <v>80</v>
      </c>
      <c r="D9" s="36" t="s">
        <v>81</v>
      </c>
      <c r="E9" s="36" t="s">
        <v>82</v>
      </c>
      <c r="F9" s="36" t="s">
        <v>83</v>
      </c>
      <c r="G9" s="36" t="s">
        <v>84</v>
      </c>
      <c r="H9" s="36" t="s">
        <v>85</v>
      </c>
      <c r="I9" s="36" t="s">
        <v>86</v>
      </c>
      <c r="J9" s="36" t="s">
        <v>87</v>
      </c>
      <c r="K9" s="36" t="s">
        <v>88</v>
      </c>
      <c r="L9" s="36" t="s">
        <v>89</v>
      </c>
      <c r="M9" s="36" t="s">
        <v>90</v>
      </c>
    </row>
    <row r="10" customFormat="false" ht="26.85" hidden="false" customHeight="false" outlineLevel="0" collapsed="false">
      <c r="A10" s="12" t="n">
        <v>1</v>
      </c>
      <c r="B10" s="12" t="s">
        <v>91</v>
      </c>
      <c r="C10" s="45" t="s">
        <v>92</v>
      </c>
      <c r="D10" s="45" t="s">
        <v>93</v>
      </c>
      <c r="E10" s="45" t="s">
        <v>94</v>
      </c>
      <c r="F10" s="12" t="s">
        <v>95</v>
      </c>
      <c r="G10" s="46" t="n">
        <v>46097</v>
      </c>
      <c r="H10" s="12" t="n">
        <v>40</v>
      </c>
      <c r="I10" s="12" t="n">
        <v>1</v>
      </c>
      <c r="J10" s="12" t="n">
        <v>4</v>
      </c>
      <c r="K10" s="45" t="s">
        <v>96</v>
      </c>
      <c r="L10" s="47" t="n">
        <v>12</v>
      </c>
      <c r="M10" s="45" t="s">
        <v>97</v>
      </c>
    </row>
    <row r="11" customFormat="false" ht="26.85" hidden="false" customHeight="false" outlineLevel="0" collapsed="false">
      <c r="A11" s="12" t="n">
        <v>2</v>
      </c>
      <c r="B11" s="12" t="s">
        <v>91</v>
      </c>
      <c r="C11" s="45" t="s">
        <v>98</v>
      </c>
      <c r="D11" s="45" t="s">
        <v>93</v>
      </c>
      <c r="E11" s="45" t="s">
        <v>99</v>
      </c>
      <c r="F11" s="12" t="s">
        <v>95</v>
      </c>
      <c r="G11" s="46" t="n">
        <v>46105</v>
      </c>
      <c r="H11" s="12" t="n">
        <v>32</v>
      </c>
      <c r="I11" s="12" t="n">
        <v>1</v>
      </c>
      <c r="J11" s="12" t="n">
        <v>5</v>
      </c>
      <c r="K11" s="45" t="s">
        <v>100</v>
      </c>
      <c r="L11" s="47" t="n">
        <v>6</v>
      </c>
      <c r="M11" s="45" t="s">
        <v>97</v>
      </c>
    </row>
    <row r="12" customFormat="false" ht="26.85" hidden="false" customHeight="false" outlineLevel="0" collapsed="false">
      <c r="A12" s="12" t="n">
        <v>3</v>
      </c>
      <c r="B12" s="12" t="s">
        <v>91</v>
      </c>
      <c r="C12" s="45" t="s">
        <v>101</v>
      </c>
      <c r="D12" s="45" t="s">
        <v>102</v>
      </c>
      <c r="E12" s="45" t="s">
        <v>103</v>
      </c>
      <c r="F12" s="12" t="s">
        <v>95</v>
      </c>
      <c r="G12" s="46" t="n">
        <v>46108</v>
      </c>
      <c r="H12" s="12" t="n">
        <v>29</v>
      </c>
      <c r="I12" s="12" t="n">
        <v>1</v>
      </c>
      <c r="J12" s="12" t="n">
        <v>0</v>
      </c>
      <c r="K12" s="45" t="s">
        <v>104</v>
      </c>
      <c r="L12" s="47" t="n">
        <v>6</v>
      </c>
      <c r="M12" s="45" t="s">
        <v>97</v>
      </c>
    </row>
    <row r="13" customFormat="false" ht="39.55" hidden="false" customHeight="false" outlineLevel="0" collapsed="false">
      <c r="A13" s="12" t="n">
        <v>4</v>
      </c>
      <c r="B13" s="12" t="s">
        <v>91</v>
      </c>
      <c r="C13" s="45" t="s">
        <v>105</v>
      </c>
      <c r="D13" s="45" t="s">
        <v>93</v>
      </c>
      <c r="E13" s="45" t="s">
        <v>99</v>
      </c>
      <c r="F13" s="12" t="s">
        <v>95</v>
      </c>
      <c r="G13" s="46" t="n">
        <v>46113</v>
      </c>
      <c r="H13" s="12" t="n">
        <v>24</v>
      </c>
      <c r="I13" s="12" t="n">
        <v>18</v>
      </c>
      <c r="J13" s="12" t="n">
        <v>60</v>
      </c>
      <c r="K13" s="45" t="s">
        <v>106</v>
      </c>
      <c r="L13" s="47" t="n">
        <v>6</v>
      </c>
      <c r="M13" s="45" t="s">
        <v>97</v>
      </c>
    </row>
    <row r="14" customFormat="false" ht="26.85" hidden="false" customHeight="false" outlineLevel="0" collapsed="false">
      <c r="A14" s="12" t="n">
        <v>5</v>
      </c>
      <c r="B14" s="12" t="s">
        <v>91</v>
      </c>
      <c r="C14" s="45" t="s">
        <v>107</v>
      </c>
      <c r="D14" s="45" t="s">
        <v>108</v>
      </c>
      <c r="E14" s="45" t="s">
        <v>109</v>
      </c>
      <c r="F14" s="12" t="s">
        <v>110</v>
      </c>
      <c r="G14" s="46" t="n">
        <v>46114</v>
      </c>
      <c r="H14" s="12" t="n">
        <v>23</v>
      </c>
      <c r="I14" s="12" t="n">
        <v>4</v>
      </c>
      <c r="J14" s="12" t="n">
        <v>0</v>
      </c>
      <c r="K14" s="45" t="s">
        <v>111</v>
      </c>
      <c r="L14" s="47" t="n">
        <v>6</v>
      </c>
      <c r="M14" s="45" t="s">
        <v>97</v>
      </c>
    </row>
    <row r="15" customFormat="false" ht="26.85" hidden="false" customHeight="false" outlineLevel="0" collapsed="false">
      <c r="A15" s="12" t="n">
        <v>6</v>
      </c>
      <c r="B15" s="12" t="s">
        <v>91</v>
      </c>
      <c r="C15" s="45" t="s">
        <v>112</v>
      </c>
      <c r="D15" s="45" t="s">
        <v>113</v>
      </c>
      <c r="E15" s="45" t="s">
        <v>114</v>
      </c>
      <c r="F15" s="12" t="s">
        <v>95</v>
      </c>
      <c r="G15" s="46" t="n">
        <v>46114</v>
      </c>
      <c r="H15" s="12" t="n">
        <v>23</v>
      </c>
      <c r="I15" s="12" t="n">
        <v>5</v>
      </c>
      <c r="J15" s="12" t="n">
        <v>14</v>
      </c>
      <c r="K15" s="45" t="s">
        <v>115</v>
      </c>
      <c r="L15" s="47" t="n">
        <v>6</v>
      </c>
      <c r="M15" s="45" t="s">
        <v>97</v>
      </c>
    </row>
    <row r="16" customFormat="false" ht="26.85" hidden="false" customHeight="false" outlineLevel="0" collapsed="false">
      <c r="A16" s="12" t="n">
        <v>7</v>
      </c>
      <c r="B16" s="12" t="s">
        <v>91</v>
      </c>
      <c r="C16" s="45" t="s">
        <v>116</v>
      </c>
      <c r="D16" s="45" t="s">
        <v>93</v>
      </c>
      <c r="E16" s="45" t="s">
        <v>99</v>
      </c>
      <c r="F16" s="12" t="s">
        <v>95</v>
      </c>
      <c r="G16" s="46" t="n">
        <v>46114</v>
      </c>
      <c r="H16" s="12" t="n">
        <v>23</v>
      </c>
      <c r="I16" s="12" t="n">
        <v>3</v>
      </c>
      <c r="J16" s="12" t="n">
        <v>0</v>
      </c>
      <c r="K16" s="45" t="s">
        <v>117</v>
      </c>
      <c r="L16" s="47" t="n">
        <v>6</v>
      </c>
      <c r="M16" s="45" t="s">
        <v>97</v>
      </c>
    </row>
    <row r="17" customFormat="false" ht="26.85" hidden="false" customHeight="false" outlineLevel="0" collapsed="false">
      <c r="A17" s="12" t="n">
        <v>8</v>
      </c>
      <c r="B17" s="12" t="s">
        <v>91</v>
      </c>
      <c r="C17" s="45" t="s">
        <v>118</v>
      </c>
      <c r="D17" s="45" t="s">
        <v>119</v>
      </c>
      <c r="E17" s="45" t="s">
        <v>99</v>
      </c>
      <c r="F17" s="12" t="s">
        <v>95</v>
      </c>
      <c r="G17" s="46" t="n">
        <v>46115</v>
      </c>
      <c r="H17" s="12" t="n">
        <v>22</v>
      </c>
      <c r="I17" s="12" t="n">
        <v>3</v>
      </c>
      <c r="J17" s="12" t="n">
        <v>0</v>
      </c>
      <c r="K17" s="45" t="s">
        <v>120</v>
      </c>
      <c r="L17" s="47" t="n">
        <v>6</v>
      </c>
      <c r="M17" s="45" t="s">
        <v>97</v>
      </c>
    </row>
    <row r="18" customFormat="false" ht="26.85" hidden="false" customHeight="false" outlineLevel="0" collapsed="false">
      <c r="A18" s="12" t="n">
        <v>9</v>
      </c>
      <c r="B18" s="12" t="s">
        <v>91</v>
      </c>
      <c r="C18" s="45" t="s">
        <v>107</v>
      </c>
      <c r="D18" s="45" t="s">
        <v>121</v>
      </c>
      <c r="E18" s="45" t="s">
        <v>109</v>
      </c>
      <c r="F18" s="12" t="s">
        <v>110</v>
      </c>
      <c r="G18" s="46" t="n">
        <v>46115</v>
      </c>
      <c r="H18" s="12" t="n">
        <v>22</v>
      </c>
      <c r="I18" s="12" t="n">
        <v>1</v>
      </c>
      <c r="J18" s="12" t="n">
        <v>0</v>
      </c>
      <c r="K18" s="45" t="s">
        <v>122</v>
      </c>
      <c r="L18" s="47" t="n">
        <v>6</v>
      </c>
      <c r="M18" s="45" t="s">
        <v>97</v>
      </c>
    </row>
    <row r="19" customFormat="false" ht="26.85" hidden="false" customHeight="false" outlineLevel="0" collapsed="false">
      <c r="A19" s="12" t="n">
        <v>10</v>
      </c>
      <c r="B19" s="12" t="s">
        <v>91</v>
      </c>
      <c r="C19" s="45" t="s">
        <v>123</v>
      </c>
      <c r="D19" s="45" t="s">
        <v>124</v>
      </c>
      <c r="E19" s="45" t="s">
        <v>125</v>
      </c>
      <c r="F19" s="12" t="s">
        <v>95</v>
      </c>
      <c r="G19" s="46" t="n">
        <v>46119</v>
      </c>
      <c r="H19" s="12" t="n">
        <v>18</v>
      </c>
      <c r="I19" s="12" t="n">
        <v>2</v>
      </c>
      <c r="J19" s="12" t="n">
        <v>0</v>
      </c>
      <c r="K19" s="45" t="s">
        <v>126</v>
      </c>
      <c r="L19" s="47" t="n">
        <v>6</v>
      </c>
      <c r="M19" s="45" t="s">
        <v>97</v>
      </c>
    </row>
    <row r="20" customFormat="false" ht="26.85" hidden="false" customHeight="false" outlineLevel="0" collapsed="false">
      <c r="A20" s="12" t="n">
        <v>11</v>
      </c>
      <c r="B20" s="12" t="s">
        <v>91</v>
      </c>
      <c r="C20" s="45" t="s">
        <v>127</v>
      </c>
      <c r="D20" s="45" t="s">
        <v>128</v>
      </c>
      <c r="E20" s="45"/>
      <c r="F20" s="12" t="s">
        <v>110</v>
      </c>
      <c r="G20" s="46" t="n">
        <v>46121</v>
      </c>
      <c r="H20" s="12" t="n">
        <v>16</v>
      </c>
      <c r="I20" s="12" t="n">
        <v>3</v>
      </c>
      <c r="J20" s="12" t="n">
        <v>0</v>
      </c>
      <c r="K20" s="45" t="s">
        <v>129</v>
      </c>
      <c r="L20" s="47" t="n">
        <v>9</v>
      </c>
      <c r="M20" s="45"/>
    </row>
    <row r="21" customFormat="false" ht="26.85" hidden="false" customHeight="false" outlineLevel="0" collapsed="false">
      <c r="A21" s="12" t="n">
        <v>12</v>
      </c>
      <c r="B21" s="12" t="s">
        <v>91</v>
      </c>
      <c r="C21" s="45" t="s">
        <v>130</v>
      </c>
      <c r="D21" s="45" t="s">
        <v>93</v>
      </c>
      <c r="E21" s="45" t="s">
        <v>99</v>
      </c>
      <c r="F21" s="12" t="s">
        <v>95</v>
      </c>
      <c r="G21" s="46" t="n">
        <v>46125</v>
      </c>
      <c r="H21" s="12" t="n">
        <v>12</v>
      </c>
      <c r="I21" s="12" t="n">
        <v>4</v>
      </c>
      <c r="J21" s="12" t="n">
        <v>12</v>
      </c>
      <c r="K21" s="45" t="s">
        <v>131</v>
      </c>
      <c r="L21" s="47" t="n">
        <v>6</v>
      </c>
      <c r="M21" s="45" t="s">
        <v>97</v>
      </c>
    </row>
    <row r="22" customFormat="false" ht="26.85" hidden="false" customHeight="false" outlineLevel="0" collapsed="false">
      <c r="A22" s="12" t="n">
        <v>13</v>
      </c>
      <c r="B22" s="12" t="s">
        <v>91</v>
      </c>
      <c r="C22" s="45" t="s">
        <v>116</v>
      </c>
      <c r="D22" s="45" t="s">
        <v>93</v>
      </c>
      <c r="E22" s="45" t="s">
        <v>94</v>
      </c>
      <c r="F22" s="12" t="s">
        <v>95</v>
      </c>
      <c r="G22" s="46" t="n">
        <v>46127</v>
      </c>
      <c r="H22" s="12" t="n">
        <v>10</v>
      </c>
      <c r="I22" s="12" t="n">
        <v>4</v>
      </c>
      <c r="J22" s="12" t="n">
        <v>16</v>
      </c>
      <c r="K22" s="45" t="s">
        <v>132</v>
      </c>
      <c r="L22" s="47" t="n">
        <v>7.2</v>
      </c>
      <c r="M22" s="45"/>
    </row>
    <row r="23" customFormat="false" ht="26.85" hidden="false" customHeight="false" outlineLevel="0" collapsed="false">
      <c r="A23" s="12" t="n">
        <v>14</v>
      </c>
      <c r="B23" s="12" t="s">
        <v>91</v>
      </c>
      <c r="C23" s="45" t="s">
        <v>105</v>
      </c>
      <c r="D23" s="45" t="s">
        <v>93</v>
      </c>
      <c r="E23" s="45" t="s">
        <v>133</v>
      </c>
      <c r="F23" s="12" t="s">
        <v>95</v>
      </c>
      <c r="G23" s="46" t="n">
        <v>46127</v>
      </c>
      <c r="H23" s="12" t="n">
        <v>10</v>
      </c>
      <c r="I23" s="12" t="n">
        <v>3</v>
      </c>
      <c r="J23" s="12" t="n">
        <v>16</v>
      </c>
      <c r="K23" s="45" t="s">
        <v>134</v>
      </c>
      <c r="L23" s="47" t="n">
        <v>6</v>
      </c>
      <c r="M23" s="45" t="s">
        <v>97</v>
      </c>
    </row>
    <row r="24" customFormat="false" ht="26.85" hidden="false" customHeight="false" outlineLevel="0" collapsed="false">
      <c r="A24" s="12" t="n">
        <v>15</v>
      </c>
      <c r="B24" s="12" t="s">
        <v>91</v>
      </c>
      <c r="C24" s="45" t="s">
        <v>130</v>
      </c>
      <c r="D24" s="45" t="s">
        <v>93</v>
      </c>
      <c r="E24" s="45" t="s">
        <v>99</v>
      </c>
      <c r="F24" s="12" t="s">
        <v>95</v>
      </c>
      <c r="G24" s="46" t="n">
        <v>46127</v>
      </c>
      <c r="H24" s="12" t="n">
        <v>10</v>
      </c>
      <c r="I24" s="12" t="n">
        <v>4</v>
      </c>
      <c r="J24" s="12" t="n">
        <v>3</v>
      </c>
      <c r="K24" s="45" t="s">
        <v>135</v>
      </c>
      <c r="L24" s="47" t="n">
        <v>6</v>
      </c>
      <c r="M24" s="45" t="s">
        <v>97</v>
      </c>
    </row>
    <row r="25" customFormat="false" ht="15" hidden="false" customHeight="false" outlineLevel="0" collapsed="false">
      <c r="A25" s="12" t="n">
        <v>16</v>
      </c>
      <c r="B25" s="12" t="s">
        <v>91</v>
      </c>
      <c r="C25" s="45" t="s">
        <v>116</v>
      </c>
      <c r="D25" s="45" t="s">
        <v>136</v>
      </c>
      <c r="E25" s="45" t="s">
        <v>94</v>
      </c>
      <c r="F25" s="12" t="s">
        <v>95</v>
      </c>
      <c r="G25" s="46" t="n">
        <v>46128</v>
      </c>
      <c r="H25" s="12" t="n">
        <v>9</v>
      </c>
      <c r="I25" s="12" t="n">
        <v>4</v>
      </c>
      <c r="J25" s="12" t="n">
        <v>7</v>
      </c>
      <c r="K25" s="45" t="s">
        <v>137</v>
      </c>
      <c r="L25" s="47" t="n">
        <v>7.2</v>
      </c>
      <c r="M25" s="45"/>
    </row>
    <row r="26" customFormat="false" ht="26.85" hidden="false" customHeight="false" outlineLevel="0" collapsed="false">
      <c r="A26" s="12" t="n">
        <v>17</v>
      </c>
      <c r="B26" s="12" t="s">
        <v>91</v>
      </c>
      <c r="C26" s="45" t="s">
        <v>138</v>
      </c>
      <c r="D26" s="45" t="s">
        <v>139</v>
      </c>
      <c r="E26" s="45" t="s">
        <v>114</v>
      </c>
      <c r="F26" s="12" t="s">
        <v>95</v>
      </c>
      <c r="G26" s="46" t="n">
        <v>46128</v>
      </c>
      <c r="H26" s="12" t="n">
        <v>9</v>
      </c>
      <c r="I26" s="12" t="n">
        <v>4</v>
      </c>
      <c r="J26" s="12" t="n">
        <v>14</v>
      </c>
      <c r="K26" s="45" t="s">
        <v>140</v>
      </c>
      <c r="L26" s="47" t="n">
        <v>6</v>
      </c>
      <c r="M26" s="45" t="s">
        <v>97</v>
      </c>
    </row>
    <row r="27" customFormat="false" ht="26.85" hidden="false" customHeight="false" outlineLevel="0" collapsed="false">
      <c r="A27" s="12" t="n">
        <v>18</v>
      </c>
      <c r="B27" s="12" t="s">
        <v>91</v>
      </c>
      <c r="C27" s="45" t="s">
        <v>141</v>
      </c>
      <c r="D27" s="45" t="s">
        <v>142</v>
      </c>
      <c r="E27" s="45" t="s">
        <v>99</v>
      </c>
      <c r="F27" s="12" t="s">
        <v>95</v>
      </c>
      <c r="G27" s="46" t="n">
        <v>46128</v>
      </c>
      <c r="H27" s="12" t="n">
        <v>9</v>
      </c>
      <c r="I27" s="12" t="n">
        <v>4</v>
      </c>
      <c r="J27" s="12" t="n">
        <v>14</v>
      </c>
      <c r="K27" s="45" t="s">
        <v>143</v>
      </c>
      <c r="L27" s="47" t="n">
        <v>6</v>
      </c>
      <c r="M27" s="45" t="s">
        <v>97</v>
      </c>
    </row>
    <row r="28" customFormat="false" ht="26.85" hidden="false" customHeight="false" outlineLevel="0" collapsed="false">
      <c r="A28" s="12" t="n">
        <v>19</v>
      </c>
      <c r="B28" s="12" t="s">
        <v>91</v>
      </c>
      <c r="C28" s="45" t="s">
        <v>144</v>
      </c>
      <c r="D28" s="45" t="s">
        <v>145</v>
      </c>
      <c r="E28" s="45" t="s">
        <v>146</v>
      </c>
      <c r="F28" s="12" t="s">
        <v>95</v>
      </c>
      <c r="G28" s="46" t="n">
        <v>46128</v>
      </c>
      <c r="H28" s="12" t="n">
        <v>9</v>
      </c>
      <c r="I28" s="12" t="n">
        <v>4</v>
      </c>
      <c r="J28" s="12" t="n">
        <v>0</v>
      </c>
      <c r="K28" s="45" t="s">
        <v>147</v>
      </c>
      <c r="L28" s="47" t="n">
        <v>6</v>
      </c>
      <c r="M28" s="45" t="s">
        <v>97</v>
      </c>
    </row>
    <row r="29" customFormat="false" ht="26.85" hidden="false" customHeight="false" outlineLevel="0" collapsed="false">
      <c r="A29" s="12" t="n">
        <v>20</v>
      </c>
      <c r="B29" s="12" t="s">
        <v>91</v>
      </c>
      <c r="C29" s="45" t="s">
        <v>116</v>
      </c>
      <c r="D29" s="45" t="s">
        <v>113</v>
      </c>
      <c r="E29" s="45" t="s">
        <v>94</v>
      </c>
      <c r="F29" s="12" t="s">
        <v>95</v>
      </c>
      <c r="G29" s="46" t="n">
        <v>46129</v>
      </c>
      <c r="H29" s="12" t="n">
        <v>8</v>
      </c>
      <c r="I29" s="12" t="n">
        <v>2</v>
      </c>
      <c r="J29" s="12" t="n">
        <v>10</v>
      </c>
      <c r="K29" s="45" t="s">
        <v>148</v>
      </c>
      <c r="L29" s="47" t="n">
        <v>7.2</v>
      </c>
      <c r="M29" s="45"/>
    </row>
    <row r="30" customFormat="false" ht="26.85" hidden="false" customHeight="false" outlineLevel="0" collapsed="false">
      <c r="A30" s="12" t="n">
        <v>21</v>
      </c>
      <c r="B30" s="12" t="s">
        <v>91</v>
      </c>
      <c r="C30" s="45" t="s">
        <v>149</v>
      </c>
      <c r="D30" s="45" t="s">
        <v>150</v>
      </c>
      <c r="E30" s="45" t="s">
        <v>151</v>
      </c>
      <c r="F30" s="12" t="s">
        <v>95</v>
      </c>
      <c r="G30" s="46" t="n">
        <v>46129</v>
      </c>
      <c r="H30" s="12" t="n">
        <v>8</v>
      </c>
      <c r="I30" s="12" t="n">
        <v>1</v>
      </c>
      <c r="J30" s="12" t="n">
        <v>0</v>
      </c>
      <c r="K30" s="45" t="s">
        <v>100</v>
      </c>
      <c r="L30" s="47" t="n">
        <v>6</v>
      </c>
      <c r="M30" s="45" t="s">
        <v>97</v>
      </c>
    </row>
    <row r="31" customFormat="false" ht="26.85" hidden="false" customHeight="false" outlineLevel="0" collapsed="false">
      <c r="A31" s="12" t="n">
        <v>22</v>
      </c>
      <c r="B31" s="12" t="s">
        <v>91</v>
      </c>
      <c r="C31" s="45" t="s">
        <v>152</v>
      </c>
      <c r="D31" s="45" t="s">
        <v>153</v>
      </c>
      <c r="E31" s="45" t="s">
        <v>99</v>
      </c>
      <c r="F31" s="12" t="s">
        <v>95</v>
      </c>
      <c r="G31" s="46" t="n">
        <v>46132</v>
      </c>
      <c r="H31" s="12" t="n">
        <v>5</v>
      </c>
      <c r="I31" s="12" t="n">
        <v>3</v>
      </c>
      <c r="J31" s="12" t="n">
        <v>0</v>
      </c>
      <c r="K31" s="45" t="s">
        <v>154</v>
      </c>
      <c r="L31" s="47" t="n">
        <v>7.2</v>
      </c>
      <c r="M31" s="45"/>
    </row>
    <row r="32" customFormat="false" ht="15" hidden="false" customHeight="false" outlineLevel="0" collapsed="false">
      <c r="A32" s="12" t="n">
        <v>23</v>
      </c>
      <c r="B32" s="12" t="s">
        <v>91</v>
      </c>
      <c r="C32" s="45" t="s">
        <v>112</v>
      </c>
      <c r="D32" s="45" t="s">
        <v>155</v>
      </c>
      <c r="E32" s="45" t="s">
        <v>99</v>
      </c>
      <c r="F32" s="12" t="s">
        <v>95</v>
      </c>
      <c r="G32" s="46" t="n">
        <v>46133</v>
      </c>
      <c r="H32" s="12" t="n">
        <v>4</v>
      </c>
      <c r="I32" s="12" t="n">
        <v>1</v>
      </c>
      <c r="J32" s="12" t="n">
        <v>0</v>
      </c>
      <c r="K32" s="45" t="s">
        <v>104</v>
      </c>
      <c r="L32" s="47" t="n">
        <v>6.6</v>
      </c>
      <c r="M32" s="45"/>
    </row>
    <row r="33" customFormat="false" ht="26.85" hidden="false" customHeight="false" outlineLevel="0" collapsed="false">
      <c r="A33" s="12" t="n">
        <v>24</v>
      </c>
      <c r="B33" s="12" t="s">
        <v>91</v>
      </c>
      <c r="C33" s="45" t="s">
        <v>156</v>
      </c>
      <c r="D33" s="45" t="s">
        <v>157</v>
      </c>
      <c r="E33" s="45" t="s">
        <v>158</v>
      </c>
      <c r="F33" s="12" t="s">
        <v>95</v>
      </c>
      <c r="G33" s="46" t="n">
        <v>46134</v>
      </c>
      <c r="H33" s="12" t="n">
        <v>3</v>
      </c>
      <c r="I33" s="12" t="n">
        <v>4</v>
      </c>
      <c r="J33" s="12" t="n">
        <v>0</v>
      </c>
      <c r="K33" s="45" t="s">
        <v>159</v>
      </c>
      <c r="L33" s="47" t="n">
        <v>4.8</v>
      </c>
      <c r="M33" s="45"/>
    </row>
    <row r="34" customFormat="false" ht="26.85" hidden="false" customHeight="false" outlineLevel="0" collapsed="false">
      <c r="A34" s="12" t="n">
        <v>25</v>
      </c>
      <c r="B34" s="12" t="s">
        <v>91</v>
      </c>
      <c r="C34" s="45" t="s">
        <v>160</v>
      </c>
      <c r="D34" s="45" t="s">
        <v>161</v>
      </c>
      <c r="E34" s="45" t="s">
        <v>151</v>
      </c>
      <c r="F34" s="12" t="s">
        <v>95</v>
      </c>
      <c r="G34" s="46" t="n">
        <v>46134</v>
      </c>
      <c r="H34" s="12" t="n">
        <v>3</v>
      </c>
      <c r="I34" s="12" t="n">
        <v>1</v>
      </c>
      <c r="J34" s="12" t="n">
        <v>0</v>
      </c>
      <c r="K34" s="45" t="s">
        <v>104</v>
      </c>
      <c r="L34" s="47" t="n">
        <v>6</v>
      </c>
      <c r="M34" s="45" t="s">
        <v>97</v>
      </c>
    </row>
    <row r="35" customFormat="false" ht="26.85" hidden="false" customHeight="false" outlineLevel="0" collapsed="false">
      <c r="A35" s="12" t="n">
        <v>26</v>
      </c>
      <c r="B35" s="12" t="s">
        <v>91</v>
      </c>
      <c r="C35" s="45" t="s">
        <v>101</v>
      </c>
      <c r="D35" s="45" t="s">
        <v>102</v>
      </c>
      <c r="E35" s="45" t="s">
        <v>146</v>
      </c>
      <c r="F35" s="12" t="s">
        <v>95</v>
      </c>
      <c r="G35" s="46" t="n">
        <v>46134</v>
      </c>
      <c r="H35" s="12" t="n">
        <v>3</v>
      </c>
      <c r="I35" s="12" t="n">
        <v>4</v>
      </c>
      <c r="J35" s="12" t="n">
        <v>10</v>
      </c>
      <c r="K35" s="45" t="s">
        <v>137</v>
      </c>
      <c r="L35" s="47" t="n">
        <v>6</v>
      </c>
      <c r="M35" s="45" t="s">
        <v>97</v>
      </c>
    </row>
    <row r="36" customFormat="false" ht="26.85" hidden="false" customHeight="false" outlineLevel="0" collapsed="false">
      <c r="A36" s="12" t="n">
        <v>27</v>
      </c>
      <c r="B36" s="12" t="s">
        <v>162</v>
      </c>
      <c r="C36" s="45" t="s">
        <v>127</v>
      </c>
      <c r="D36" s="45" t="s">
        <v>163</v>
      </c>
      <c r="E36" s="45"/>
      <c r="F36" s="12"/>
      <c r="G36" s="46" t="n">
        <v>46093</v>
      </c>
      <c r="H36" s="12" t="n">
        <v>44</v>
      </c>
      <c r="I36" s="12" t="n">
        <v>1</v>
      </c>
      <c r="J36" s="12" t="n">
        <v>0</v>
      </c>
      <c r="K36" s="45" t="s">
        <v>164</v>
      </c>
      <c r="L36" s="47" t="n">
        <v>6</v>
      </c>
      <c r="M36" s="45"/>
    </row>
    <row r="37" customFormat="false" ht="26.85" hidden="false" customHeight="false" outlineLevel="0" collapsed="false">
      <c r="A37" s="12" t="n">
        <v>28</v>
      </c>
      <c r="B37" s="12" t="s">
        <v>162</v>
      </c>
      <c r="C37" s="45" t="s">
        <v>141</v>
      </c>
      <c r="D37" s="45" t="s">
        <v>142</v>
      </c>
      <c r="E37" s="45" t="s">
        <v>99</v>
      </c>
      <c r="F37" s="12" t="s">
        <v>95</v>
      </c>
      <c r="G37" s="46" t="n">
        <v>46093</v>
      </c>
      <c r="H37" s="12" t="n">
        <v>44</v>
      </c>
      <c r="I37" s="12" t="n">
        <v>1</v>
      </c>
      <c r="J37" s="12" t="n">
        <v>0</v>
      </c>
      <c r="K37" s="45" t="s">
        <v>164</v>
      </c>
      <c r="L37" s="47" t="n">
        <v>6</v>
      </c>
      <c r="M37" s="45" t="s">
        <v>97</v>
      </c>
    </row>
    <row r="38" customFormat="false" ht="26.85" hidden="false" customHeight="false" outlineLevel="0" collapsed="false">
      <c r="A38" s="12" t="n">
        <v>29</v>
      </c>
      <c r="B38" s="12" t="s">
        <v>162</v>
      </c>
      <c r="C38" s="45" t="s">
        <v>149</v>
      </c>
      <c r="D38" s="45" t="s">
        <v>165</v>
      </c>
      <c r="E38" s="45" t="s">
        <v>151</v>
      </c>
      <c r="F38" s="12" t="s">
        <v>95</v>
      </c>
      <c r="G38" s="46" t="n">
        <v>46111</v>
      </c>
      <c r="H38" s="12" t="n">
        <v>26</v>
      </c>
      <c r="I38" s="12" t="n">
        <v>3</v>
      </c>
      <c r="J38" s="12" t="n">
        <v>2</v>
      </c>
      <c r="K38" s="45" t="s">
        <v>166</v>
      </c>
      <c r="L38" s="47" t="n">
        <v>12</v>
      </c>
      <c r="M38" s="45" t="s">
        <v>97</v>
      </c>
    </row>
    <row r="39" customFormat="false" ht="26.85" hidden="false" customHeight="false" outlineLevel="0" collapsed="false">
      <c r="A39" s="12" t="n">
        <v>30</v>
      </c>
      <c r="B39" s="12" t="s">
        <v>162</v>
      </c>
      <c r="C39" s="45" t="s">
        <v>167</v>
      </c>
      <c r="D39" s="45" t="s">
        <v>168</v>
      </c>
      <c r="E39" s="45" t="s">
        <v>114</v>
      </c>
      <c r="F39" s="12" t="s">
        <v>95</v>
      </c>
      <c r="G39" s="46" t="n">
        <v>46125</v>
      </c>
      <c r="H39" s="12" t="n">
        <v>12</v>
      </c>
      <c r="I39" s="12" t="n">
        <v>1</v>
      </c>
      <c r="J39" s="12" t="n">
        <v>0</v>
      </c>
      <c r="K39" s="45" t="s">
        <v>164</v>
      </c>
      <c r="L39" s="47" t="n">
        <v>6</v>
      </c>
      <c r="M39" s="45"/>
    </row>
    <row r="42" customFormat="false" ht="15" hidden="false" customHeight="false" outlineLevel="0" collapsed="false">
      <c r="A42" s="20" t="s">
        <v>169</v>
      </c>
      <c r="B42" s="20"/>
      <c r="C42" s="20"/>
      <c r="D42" s="20"/>
      <c r="E42" s="20"/>
      <c r="F42" s="20"/>
    </row>
    <row r="43" customFormat="false" ht="39.55" hidden="false" customHeight="false" outlineLevel="0" collapsed="false">
      <c r="A43" s="36" t="s">
        <v>80</v>
      </c>
      <c r="B43" s="36" t="s">
        <v>71</v>
      </c>
      <c r="C43" s="36" t="s">
        <v>170</v>
      </c>
      <c r="D43" s="36" t="s">
        <v>87</v>
      </c>
      <c r="E43" s="36" t="s">
        <v>75</v>
      </c>
      <c r="F43" s="36" t="s">
        <v>76</v>
      </c>
    </row>
    <row r="44" customFormat="false" ht="26.85" hidden="false" customHeight="false" outlineLevel="0" collapsed="false">
      <c r="A44" s="31" t="s">
        <v>116</v>
      </c>
      <c r="B44" s="38" t="n">
        <v>4</v>
      </c>
      <c r="C44" s="38" t="n">
        <v>13</v>
      </c>
      <c r="D44" s="38" t="n">
        <v>33</v>
      </c>
      <c r="E44" s="39" t="n">
        <v>12.5</v>
      </c>
      <c r="F44" s="39" t="n">
        <v>27.6</v>
      </c>
    </row>
    <row r="45" customFormat="false" ht="39.55" hidden="false" customHeight="false" outlineLevel="0" collapsed="false">
      <c r="A45" s="31" t="s">
        <v>101</v>
      </c>
      <c r="B45" s="38" t="n">
        <v>2</v>
      </c>
      <c r="C45" s="38" t="n">
        <v>5</v>
      </c>
      <c r="D45" s="38" t="n">
        <v>10</v>
      </c>
      <c r="E45" s="39" t="n">
        <v>16</v>
      </c>
      <c r="F45" s="39" t="n">
        <v>12</v>
      </c>
    </row>
    <row r="46" customFormat="false" ht="26.85" hidden="false" customHeight="false" outlineLevel="0" collapsed="false">
      <c r="A46" s="31" t="s">
        <v>105</v>
      </c>
      <c r="B46" s="38" t="n">
        <v>2</v>
      </c>
      <c r="C46" s="38" t="n">
        <v>21</v>
      </c>
      <c r="D46" s="38" t="n">
        <v>76</v>
      </c>
      <c r="E46" s="39" t="n">
        <v>17</v>
      </c>
      <c r="F46" s="39" t="n">
        <v>12</v>
      </c>
    </row>
    <row r="47" customFormat="false" ht="52.2" hidden="false" customHeight="false" outlineLevel="0" collapsed="false">
      <c r="A47" s="31" t="s">
        <v>107</v>
      </c>
      <c r="B47" s="38" t="n">
        <v>2</v>
      </c>
      <c r="C47" s="38" t="n">
        <v>5</v>
      </c>
      <c r="D47" s="38" t="n">
        <v>0</v>
      </c>
      <c r="E47" s="39" t="n">
        <v>22.5</v>
      </c>
      <c r="F47" s="39" t="n">
        <v>12</v>
      </c>
    </row>
    <row r="48" customFormat="false" ht="64.9" hidden="false" customHeight="false" outlineLevel="0" collapsed="false">
      <c r="A48" s="31" t="s">
        <v>112</v>
      </c>
      <c r="B48" s="38" t="n">
        <v>2</v>
      </c>
      <c r="C48" s="38" t="n">
        <v>6</v>
      </c>
      <c r="D48" s="38" t="n">
        <v>14</v>
      </c>
      <c r="E48" s="39" t="n">
        <v>13.5</v>
      </c>
      <c r="F48" s="39" t="n">
        <v>12.6</v>
      </c>
    </row>
    <row r="49" customFormat="false" ht="52.2" hidden="false" customHeight="false" outlineLevel="0" collapsed="false">
      <c r="A49" s="31" t="s">
        <v>130</v>
      </c>
      <c r="B49" s="38" t="n">
        <v>2</v>
      </c>
      <c r="C49" s="38" t="n">
        <v>8</v>
      </c>
      <c r="D49" s="38" t="n">
        <v>15</v>
      </c>
      <c r="E49" s="39" t="n">
        <v>11</v>
      </c>
      <c r="F49" s="39" t="n">
        <v>12</v>
      </c>
    </row>
    <row r="50" customFormat="false" ht="52.2" hidden="false" customHeight="false" outlineLevel="0" collapsed="false">
      <c r="A50" s="31" t="s">
        <v>92</v>
      </c>
      <c r="B50" s="38" t="n">
        <v>1</v>
      </c>
      <c r="C50" s="38" t="n">
        <v>1</v>
      </c>
      <c r="D50" s="38" t="n">
        <v>4</v>
      </c>
      <c r="E50" s="39" t="n">
        <v>40</v>
      </c>
      <c r="F50" s="39" t="n">
        <v>12</v>
      </c>
    </row>
    <row r="51" customFormat="false" ht="39.55" hidden="false" customHeight="false" outlineLevel="0" collapsed="false">
      <c r="A51" s="31" t="s">
        <v>98</v>
      </c>
      <c r="B51" s="38" t="n">
        <v>1</v>
      </c>
      <c r="C51" s="38" t="n">
        <v>1</v>
      </c>
      <c r="D51" s="38" t="n">
        <v>5</v>
      </c>
      <c r="E51" s="39" t="n">
        <v>32</v>
      </c>
      <c r="F51" s="39" t="n">
        <v>6</v>
      </c>
    </row>
    <row r="52" customFormat="false" ht="52.2" hidden="false" customHeight="false" outlineLevel="0" collapsed="false">
      <c r="A52" s="31" t="s">
        <v>118</v>
      </c>
      <c r="B52" s="38" t="n">
        <v>1</v>
      </c>
      <c r="C52" s="38" t="n">
        <v>3</v>
      </c>
      <c r="D52" s="38" t="n">
        <v>0</v>
      </c>
      <c r="E52" s="39" t="n">
        <v>22</v>
      </c>
      <c r="F52" s="39" t="n">
        <v>6</v>
      </c>
    </row>
    <row r="53" customFormat="false" ht="26.85" hidden="false" customHeight="false" outlineLevel="0" collapsed="false">
      <c r="A53" s="31" t="s">
        <v>123</v>
      </c>
      <c r="B53" s="38" t="n">
        <v>1</v>
      </c>
      <c r="C53" s="38" t="n">
        <v>2</v>
      </c>
      <c r="D53" s="38" t="n">
        <v>0</v>
      </c>
      <c r="E53" s="39" t="n">
        <v>18</v>
      </c>
      <c r="F53" s="39" t="n">
        <v>6</v>
      </c>
    </row>
    <row r="54" customFormat="false" ht="52.2" hidden="false" customHeight="false" outlineLevel="0" collapsed="false">
      <c r="A54" s="31" t="s">
        <v>127</v>
      </c>
      <c r="B54" s="38" t="n">
        <v>1</v>
      </c>
      <c r="C54" s="38" t="n">
        <v>3</v>
      </c>
      <c r="D54" s="38" t="n">
        <v>0</v>
      </c>
      <c r="E54" s="39" t="n">
        <v>16</v>
      </c>
      <c r="F54" s="39" t="n">
        <v>9</v>
      </c>
    </row>
    <row r="55" customFormat="false" ht="39.55" hidden="false" customHeight="false" outlineLevel="0" collapsed="false">
      <c r="A55" s="31" t="s">
        <v>138</v>
      </c>
      <c r="B55" s="38" t="n">
        <v>1</v>
      </c>
      <c r="C55" s="38" t="n">
        <v>4</v>
      </c>
      <c r="D55" s="38" t="n">
        <v>14</v>
      </c>
      <c r="E55" s="39" t="n">
        <v>9</v>
      </c>
      <c r="F55" s="39" t="n">
        <v>6</v>
      </c>
    </row>
    <row r="56" customFormat="false" ht="52.2" hidden="false" customHeight="false" outlineLevel="0" collapsed="false">
      <c r="A56" s="31" t="s">
        <v>141</v>
      </c>
      <c r="B56" s="38" t="n">
        <v>1</v>
      </c>
      <c r="C56" s="38" t="n">
        <v>4</v>
      </c>
      <c r="D56" s="38" t="n">
        <v>14</v>
      </c>
      <c r="E56" s="39" t="n">
        <v>9</v>
      </c>
      <c r="F56" s="39" t="n">
        <v>6</v>
      </c>
    </row>
    <row r="57" customFormat="false" ht="26.85" hidden="false" customHeight="false" outlineLevel="0" collapsed="false">
      <c r="A57" s="31" t="s">
        <v>144</v>
      </c>
      <c r="B57" s="38" t="n">
        <v>1</v>
      </c>
      <c r="C57" s="38" t="n">
        <v>4</v>
      </c>
      <c r="D57" s="38" t="n">
        <v>0</v>
      </c>
      <c r="E57" s="39" t="n">
        <v>9</v>
      </c>
      <c r="F57" s="39" t="n">
        <v>6</v>
      </c>
    </row>
    <row r="58" customFormat="false" ht="26.85" hidden="false" customHeight="false" outlineLevel="0" collapsed="false">
      <c r="A58" s="31" t="s">
        <v>149</v>
      </c>
      <c r="B58" s="38" t="n">
        <v>1</v>
      </c>
      <c r="C58" s="38" t="n">
        <v>1</v>
      </c>
      <c r="D58" s="38" t="n">
        <v>0</v>
      </c>
      <c r="E58" s="39" t="n">
        <v>8</v>
      </c>
      <c r="F58" s="39" t="n">
        <v>6</v>
      </c>
    </row>
    <row r="59" customFormat="false" ht="52.2" hidden="false" customHeight="false" outlineLevel="0" collapsed="false">
      <c r="A59" s="31" t="s">
        <v>152</v>
      </c>
      <c r="B59" s="38" t="n">
        <v>1</v>
      </c>
      <c r="C59" s="38" t="n">
        <v>3</v>
      </c>
      <c r="D59" s="38" t="n">
        <v>0</v>
      </c>
      <c r="E59" s="39" t="n">
        <v>5</v>
      </c>
      <c r="F59" s="39" t="n">
        <v>7.2</v>
      </c>
    </row>
    <row r="60" customFormat="false" ht="39.55" hidden="false" customHeight="false" outlineLevel="0" collapsed="false">
      <c r="A60" s="31" t="s">
        <v>156</v>
      </c>
      <c r="B60" s="38" t="n">
        <v>1</v>
      </c>
      <c r="C60" s="38" t="n">
        <v>4</v>
      </c>
      <c r="D60" s="38" t="n">
        <v>0</v>
      </c>
      <c r="E60" s="39" t="n">
        <v>3</v>
      </c>
      <c r="F60" s="39" t="n">
        <v>4.8</v>
      </c>
    </row>
    <row r="61" customFormat="false" ht="77.6" hidden="false" customHeight="false" outlineLevel="0" collapsed="false">
      <c r="A61" s="31" t="s">
        <v>160</v>
      </c>
      <c r="B61" s="38" t="n">
        <v>1</v>
      </c>
      <c r="C61" s="38" t="n">
        <v>1</v>
      </c>
      <c r="D61" s="38" t="n">
        <v>0</v>
      </c>
      <c r="E61" s="39" t="n">
        <v>3</v>
      </c>
      <c r="F61" s="39" t="n">
        <v>6</v>
      </c>
    </row>
    <row r="64" customFormat="false" ht="15" hidden="false" customHeight="false" outlineLevel="0" collapsed="false">
      <c r="A64" s="20" t="s">
        <v>171</v>
      </c>
      <c r="B64" s="20"/>
      <c r="C64" s="20"/>
      <c r="D64" s="20"/>
      <c r="E64" s="20"/>
      <c r="F64" s="20"/>
    </row>
    <row r="65" customFormat="false" ht="39.55" hidden="false" customHeight="false" outlineLevel="0" collapsed="false">
      <c r="A65" s="36" t="s">
        <v>81</v>
      </c>
      <c r="B65" s="36" t="s">
        <v>71</v>
      </c>
      <c r="C65" s="36" t="s">
        <v>170</v>
      </c>
      <c r="D65" s="36" t="s">
        <v>87</v>
      </c>
      <c r="E65" s="36" t="s">
        <v>75</v>
      </c>
      <c r="F65" s="36" t="s">
        <v>76</v>
      </c>
    </row>
    <row r="66" customFormat="false" ht="26.85" hidden="false" customHeight="false" outlineLevel="0" collapsed="false">
      <c r="A66" s="31" t="s">
        <v>93</v>
      </c>
      <c r="B66" s="38" t="n">
        <v>10</v>
      </c>
      <c r="C66" s="38" t="n">
        <v>45</v>
      </c>
      <c r="D66" s="38" t="n">
        <v>140</v>
      </c>
      <c r="E66" s="39" t="n">
        <v>19.2</v>
      </c>
      <c r="F66" s="39" t="n">
        <v>68.4</v>
      </c>
    </row>
    <row r="67" customFormat="false" ht="26.85" hidden="false" customHeight="false" outlineLevel="0" collapsed="false">
      <c r="A67" s="31" t="s">
        <v>102</v>
      </c>
      <c r="B67" s="38" t="n">
        <v>2</v>
      </c>
      <c r="C67" s="38" t="n">
        <v>5</v>
      </c>
      <c r="D67" s="38" t="n">
        <v>10</v>
      </c>
      <c r="E67" s="39" t="n">
        <v>16</v>
      </c>
      <c r="F67" s="39" t="n">
        <v>12</v>
      </c>
    </row>
    <row r="68" customFormat="false" ht="52.2" hidden="false" customHeight="false" outlineLevel="0" collapsed="false">
      <c r="A68" s="31" t="s">
        <v>108</v>
      </c>
      <c r="B68" s="38" t="n">
        <v>1</v>
      </c>
      <c r="C68" s="38" t="n">
        <v>4</v>
      </c>
      <c r="D68" s="38" t="n">
        <v>0</v>
      </c>
      <c r="E68" s="39" t="n">
        <v>23</v>
      </c>
      <c r="F68" s="39" t="n">
        <v>6</v>
      </c>
    </row>
    <row r="69" customFormat="false" ht="102.95" hidden="false" customHeight="false" outlineLevel="0" collapsed="false">
      <c r="A69" s="31" t="s">
        <v>119</v>
      </c>
      <c r="B69" s="38" t="n">
        <v>1</v>
      </c>
      <c r="C69" s="38" t="n">
        <v>3</v>
      </c>
      <c r="D69" s="38" t="n">
        <v>0</v>
      </c>
      <c r="E69" s="39" t="n">
        <v>22</v>
      </c>
      <c r="F69" s="39" t="n">
        <v>6</v>
      </c>
    </row>
    <row r="70" customFormat="false" ht="77.6" hidden="false" customHeight="false" outlineLevel="0" collapsed="false">
      <c r="A70" s="31" t="s">
        <v>121</v>
      </c>
      <c r="B70" s="38" t="n">
        <v>1</v>
      </c>
      <c r="C70" s="38" t="n">
        <v>1</v>
      </c>
      <c r="D70" s="38" t="n">
        <v>0</v>
      </c>
      <c r="E70" s="39" t="n">
        <v>22</v>
      </c>
      <c r="F70" s="39" t="n">
        <v>6</v>
      </c>
    </row>
    <row r="71" customFormat="false" ht="26.85" hidden="false" customHeight="false" outlineLevel="0" collapsed="false">
      <c r="A71" s="31" t="s">
        <v>124</v>
      </c>
      <c r="B71" s="38" t="n">
        <v>1</v>
      </c>
      <c r="C71" s="38" t="n">
        <v>2</v>
      </c>
      <c r="D71" s="38" t="n">
        <v>0</v>
      </c>
      <c r="E71" s="39" t="n">
        <v>18</v>
      </c>
      <c r="F71" s="39" t="n">
        <v>6</v>
      </c>
    </row>
    <row r="72" customFormat="false" ht="26.85" hidden="false" customHeight="false" outlineLevel="0" collapsed="false">
      <c r="A72" s="31" t="s">
        <v>172</v>
      </c>
      <c r="B72" s="38" t="n">
        <v>1</v>
      </c>
      <c r="C72" s="38" t="n">
        <v>3</v>
      </c>
      <c r="D72" s="38" t="n">
        <v>0</v>
      </c>
      <c r="E72" s="39" t="n">
        <v>16</v>
      </c>
      <c r="F72" s="39" t="n">
        <v>9</v>
      </c>
    </row>
    <row r="73" customFormat="false" ht="39.55" hidden="false" customHeight="false" outlineLevel="0" collapsed="false">
      <c r="A73" s="31" t="s">
        <v>136</v>
      </c>
      <c r="B73" s="38" t="n">
        <v>1</v>
      </c>
      <c r="C73" s="38" t="n">
        <v>4</v>
      </c>
      <c r="D73" s="38" t="n">
        <v>7</v>
      </c>
      <c r="E73" s="39" t="n">
        <v>9</v>
      </c>
      <c r="F73" s="39" t="n">
        <v>7.2</v>
      </c>
    </row>
    <row r="74" customFormat="false" ht="26.85" hidden="false" customHeight="false" outlineLevel="0" collapsed="false">
      <c r="A74" s="31" t="s">
        <v>139</v>
      </c>
      <c r="B74" s="38" t="n">
        <v>1</v>
      </c>
      <c r="C74" s="38" t="n">
        <v>4</v>
      </c>
      <c r="D74" s="38" t="n">
        <v>14</v>
      </c>
      <c r="E74" s="39" t="n">
        <v>9</v>
      </c>
      <c r="F74" s="39" t="n">
        <v>6</v>
      </c>
    </row>
    <row r="75" customFormat="false" ht="26.85" hidden="false" customHeight="false" outlineLevel="0" collapsed="false">
      <c r="A75" s="31" t="s">
        <v>142</v>
      </c>
      <c r="B75" s="38" t="n">
        <v>1</v>
      </c>
      <c r="C75" s="38" t="n">
        <v>4</v>
      </c>
      <c r="D75" s="38" t="n">
        <v>14</v>
      </c>
      <c r="E75" s="39" t="n">
        <v>9</v>
      </c>
      <c r="F75" s="39" t="n">
        <v>6</v>
      </c>
    </row>
    <row r="76" customFormat="false" ht="26.85" hidden="false" customHeight="false" outlineLevel="0" collapsed="false">
      <c r="A76" s="31" t="s">
        <v>145</v>
      </c>
      <c r="B76" s="38" t="n">
        <v>1</v>
      </c>
      <c r="C76" s="38" t="n">
        <v>4</v>
      </c>
      <c r="D76" s="38" t="n">
        <v>0</v>
      </c>
      <c r="E76" s="39" t="n">
        <v>9</v>
      </c>
      <c r="F76" s="39" t="n">
        <v>6</v>
      </c>
    </row>
    <row r="77" customFormat="false" ht="39.55" hidden="false" customHeight="false" outlineLevel="0" collapsed="false">
      <c r="A77" s="31" t="s">
        <v>165</v>
      </c>
      <c r="B77" s="38" t="n">
        <v>1</v>
      </c>
      <c r="C77" s="38" t="n">
        <v>1</v>
      </c>
      <c r="D77" s="38" t="n">
        <v>0</v>
      </c>
      <c r="E77" s="39" t="n">
        <v>8</v>
      </c>
      <c r="F77" s="39" t="n">
        <v>6</v>
      </c>
    </row>
    <row r="78" customFormat="false" ht="26.85" hidden="false" customHeight="false" outlineLevel="0" collapsed="false">
      <c r="A78" s="31" t="s">
        <v>173</v>
      </c>
      <c r="B78" s="38" t="n">
        <v>1</v>
      </c>
      <c r="C78" s="38" t="n">
        <v>3</v>
      </c>
      <c r="D78" s="38" t="n">
        <v>0</v>
      </c>
      <c r="E78" s="39" t="n">
        <v>5</v>
      </c>
      <c r="F78" s="39" t="n">
        <v>7.2</v>
      </c>
    </row>
    <row r="79" customFormat="false" ht="52.2" hidden="false" customHeight="false" outlineLevel="0" collapsed="false">
      <c r="A79" s="31" t="s">
        <v>155</v>
      </c>
      <c r="B79" s="38" t="n">
        <v>1</v>
      </c>
      <c r="C79" s="38" t="n">
        <v>1</v>
      </c>
      <c r="D79" s="38" t="n">
        <v>0</v>
      </c>
      <c r="E79" s="39" t="n">
        <v>4</v>
      </c>
      <c r="F79" s="39" t="n">
        <v>6.6</v>
      </c>
    </row>
    <row r="80" customFormat="false" ht="90.25" hidden="false" customHeight="false" outlineLevel="0" collapsed="false">
      <c r="A80" s="31" t="s">
        <v>157</v>
      </c>
      <c r="B80" s="38" t="n">
        <v>1</v>
      </c>
      <c r="C80" s="38" t="n">
        <v>4</v>
      </c>
      <c r="D80" s="38" t="n">
        <v>0</v>
      </c>
      <c r="E80" s="39" t="n">
        <v>3</v>
      </c>
      <c r="F80" s="39" t="n">
        <v>4.8</v>
      </c>
    </row>
    <row r="81" customFormat="false" ht="26.85" hidden="false" customHeight="false" outlineLevel="0" collapsed="false">
      <c r="A81" s="31" t="s">
        <v>161</v>
      </c>
      <c r="B81" s="38" t="n">
        <v>1</v>
      </c>
      <c r="C81" s="38" t="n">
        <v>1</v>
      </c>
      <c r="D81" s="38" t="n">
        <v>0</v>
      </c>
      <c r="E81" s="39" t="n">
        <v>3</v>
      </c>
      <c r="F81" s="39" t="n">
        <v>6</v>
      </c>
    </row>
  </sheetData>
  <mergeCells count="6">
    <mergeCell ref="A1:M1"/>
    <mergeCell ref="A2:M2"/>
    <mergeCell ref="A3:M3"/>
    <mergeCell ref="A5:M5"/>
    <mergeCell ref="A42:F42"/>
    <mergeCell ref="A64:F64"/>
  </mergeCells>
  <conditionalFormatting sqref="B10:B39">
    <cfRule type="cellIs" priority="2" operator="equal" aboveAverage="0" equalAverage="0" bottom="0" percent="0" rank="0" text="" dxfId="3">
      <formula>"OPEN"</formula>
    </cfRule>
    <cfRule type="cellIs" priority="3" operator="equal" aboveAverage="0" equalAverage="0" bottom="0" percent="0" rank="0" text="" dxfId="2">
      <formula>"CLOSED"</formula>
    </cfRule>
  </conditionalFormatting>
  <conditionalFormatting sqref="H10:H39">
    <cfRule type="colorScale" priority="4">
      <colorScale>
        <cfvo type="num" val="0"/>
        <cfvo type="num" val="15"/>
        <cfvo type="num" val="45"/>
        <color rgb="FF63BE7B"/>
        <color rgb="FFFFEB84"/>
        <color rgb="FFF8696B"/>
      </colorScale>
    </cfRule>
  </conditionalFormatting>
  <conditionalFormatting sqref="L10:L39">
    <cfRule type="dataBar" priority="5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{178FE8A0-3B68-4DB7-A8CF-3841F5D1CAC0}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FE8A0-3B68-4DB7-A8CF-3841F5D1CAC0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L10:L39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8"/>
  </cols>
  <sheetData>
    <row r="1" customFormat="false" ht="21.75" hidden="false" customHeight="true" outlineLevel="0" collapsed="false">
      <c r="A1" s="2" t="s">
        <v>174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175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36" t="s">
        <v>176</v>
      </c>
      <c r="B4" s="36" t="s">
        <v>177</v>
      </c>
      <c r="C4" s="36" t="s">
        <v>178</v>
      </c>
      <c r="D4" s="36" t="s">
        <v>179</v>
      </c>
      <c r="E4" s="36" t="s">
        <v>90</v>
      </c>
    </row>
    <row r="5" customFormat="false" ht="15" hidden="false" customHeight="true" outlineLevel="0" collapsed="false">
      <c r="A5" s="48" t="s">
        <v>4</v>
      </c>
      <c r="B5" s="49" t="n">
        <f aca="false">COUNTA('BD Data'!A2:A165)</f>
        <v>162</v>
      </c>
      <c r="C5" s="50" t="n">
        <f aca="false">IFERROR(B5/$B$5,0)</f>
        <v>1</v>
      </c>
      <c r="D5" s="51" t="s">
        <v>180</v>
      </c>
      <c r="E5" s="52" t="s">
        <v>181</v>
      </c>
    </row>
    <row r="6" customFormat="false" ht="15" hidden="false" customHeight="true" outlineLevel="0" collapsed="false">
      <c r="A6" s="48" t="s">
        <v>182</v>
      </c>
      <c r="B6" s="49" t="n">
        <f aca="false">COUNTA('BD Data'!A2:A165)-COUNTIF('BD Data'!N2:N165,"Profile Rejected")-COUNTIF('BD Data'!N2:N165,"Lost / Deferred")-COUNTIF('BD Data'!N2:N165,"Requirement Received")-COUNTIF('BD Data'!N2:N165,"Requirement Shared")</f>
        <v>67</v>
      </c>
      <c r="C6" s="50" t="n">
        <f aca="false">IFERROR(B6/$B$5,0)</f>
        <v>0.41358024691358</v>
      </c>
      <c r="D6" s="50" t="n">
        <f aca="false">IFERROR(B6/B5,0)</f>
        <v>0.41358024691358</v>
      </c>
      <c r="E6" s="52" t="s">
        <v>183</v>
      </c>
    </row>
    <row r="7" customFormat="false" ht="15" hidden="false" customHeight="true" outlineLevel="0" collapsed="false">
      <c r="A7" s="48" t="s">
        <v>184</v>
      </c>
      <c r="B7" s="49" t="n">
        <f aca="false">COUNTIF('BD Data'!N2:N165,"Profile Shared")+COUNTIF('BD Data'!N2:N165,"Awaiting Feedback")+COUNTIF('BD Data'!N2:N165,"Interview")+COUNTIF('BD Data'!N2:N165,"Screening Scheduled")+COUNTIF('BD Data'!N2:N165,"Shortlisted")+COUNTIF('BD Data'!N2:N165,"On Hold")+COUNTIF('BD Data'!N2:N165,"No Show")+COUNTIF('BD Data'!N2:N165,"Final Select")+COUNTIF('BD Data'!N2:N165,"Offer Rejected")+COUNTIF('BD Data'!N2:N165,"Onboarded")</f>
        <v>65</v>
      </c>
      <c r="C7" s="50" t="n">
        <f aca="false">IFERROR(B7/$B$5,0)</f>
        <v>0.401234567901235</v>
      </c>
      <c r="D7" s="50" t="n">
        <f aca="false">IFERROR(B7/B6,0)</f>
        <v>0.970149253731343</v>
      </c>
      <c r="E7" s="52" t="s">
        <v>185</v>
      </c>
    </row>
    <row r="8" customFormat="false" ht="15" hidden="false" customHeight="true" outlineLevel="0" collapsed="false">
      <c r="A8" s="48" t="s">
        <v>186</v>
      </c>
      <c r="B8" s="49" t="n">
        <f aca="false">COUNTIF('BD Data'!N2:N165,"Shortlisted")+COUNTIF('BD Data'!N2:N165,"Final Select")+COUNTIF('BD Data'!N2:N165,"Offer Rejected")+COUNTIF('BD Data'!N2:N165,"Onboarded")</f>
        <v>15</v>
      </c>
      <c r="C8" s="50" t="n">
        <f aca="false">IFERROR(B8/$B$5,0)</f>
        <v>0.0925925925925926</v>
      </c>
      <c r="D8" s="50" t="n">
        <f aca="false">IFERROR(B8/B7,0)</f>
        <v>0.230769230769231</v>
      </c>
      <c r="E8" s="52" t="s">
        <v>187</v>
      </c>
    </row>
    <row r="9" customFormat="false" ht="15" hidden="false" customHeight="true" outlineLevel="0" collapsed="false">
      <c r="A9" s="48" t="s">
        <v>188</v>
      </c>
      <c r="B9" s="49" t="n">
        <f aca="false">COUNTIF('BD Data'!N2:N165,"Final Select")+COUNTIF('BD Data'!N2:N165,"Offer Rejected")+COUNTIF('BD Data'!N2:N165,"Onboarded")</f>
        <v>11</v>
      </c>
      <c r="C9" s="50" t="n">
        <f aca="false">IFERROR(B9/$B$5,0)</f>
        <v>0.0679012345679012</v>
      </c>
      <c r="D9" s="50" t="n">
        <f aca="false">IFERROR(B9/B8,0)</f>
        <v>0.733333333333333</v>
      </c>
      <c r="E9" s="52" t="s">
        <v>189</v>
      </c>
    </row>
    <row r="10" customFormat="false" ht="15" hidden="false" customHeight="true" outlineLevel="0" collapsed="false">
      <c r="A10" s="48" t="s">
        <v>190</v>
      </c>
      <c r="B10" s="49" t="n">
        <f aca="false">COUNTIF('BD Data'!N2:N165,"Onboarded")+COUNTIF('BD Data'!N2:N165,"Final Select")</f>
        <v>10</v>
      </c>
      <c r="C10" s="50" t="n">
        <f aca="false">IFERROR(B10/$B$5,0)</f>
        <v>0.0617283950617284</v>
      </c>
      <c r="D10" s="50" t="n">
        <f aca="false">IFERROR(B10/B9,0)</f>
        <v>0.909090909090909</v>
      </c>
      <c r="E10" s="52" t="s">
        <v>191</v>
      </c>
    </row>
    <row r="11" customFormat="false" ht="15" hidden="false" customHeight="true" outlineLevel="0" collapsed="false">
      <c r="A11" s="48" t="s">
        <v>192</v>
      </c>
      <c r="B11" s="49" t="n">
        <f aca="false">COUNTIF('BD Data'!N2:N165,"Onboarded")</f>
        <v>4</v>
      </c>
      <c r="C11" s="50" t="n">
        <f aca="false">IFERROR(B11/$B$5,0)</f>
        <v>0.0246913580246914</v>
      </c>
      <c r="D11" s="50" t="n">
        <f aca="false">IFERROR(B11/B10,0)</f>
        <v>0.4</v>
      </c>
      <c r="E11" s="52" t="s">
        <v>193</v>
      </c>
    </row>
    <row r="14" customFormat="false" ht="15" hidden="false" customHeight="true" outlineLevel="0" collapsed="false">
      <c r="A14" s="5" t="s">
        <v>194</v>
      </c>
      <c r="B14" s="5"/>
      <c r="C14" s="5"/>
      <c r="D14" s="5"/>
      <c r="E14" s="5"/>
    </row>
    <row r="15" customFormat="false" ht="34.5" hidden="false" customHeight="true" outlineLevel="0" collapsed="false">
      <c r="A15" s="53" t="s">
        <v>4</v>
      </c>
      <c r="B15" s="54" t="n">
        <f aca="false">B5</f>
        <v>162</v>
      </c>
      <c r="C15" s="55" t="str">
        <f aca="false">REPT("█",B5)</f>
        <v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v>
      </c>
      <c r="D15" s="55"/>
      <c r="E15" s="55"/>
    </row>
    <row r="16" customFormat="false" ht="23.25" hidden="false" customHeight="true" outlineLevel="0" collapsed="false">
      <c r="A16" s="53" t="s">
        <v>182</v>
      </c>
      <c r="B16" s="54" t="n">
        <f aca="false">B6</f>
        <v>67</v>
      </c>
      <c r="C16" s="55" t="str">
        <f aca="false">REPT("█",B6)</f>
        <v>███████████████████████████████████████████████████████████████████</v>
      </c>
      <c r="D16" s="55"/>
      <c r="E16" s="55"/>
    </row>
    <row r="17" customFormat="false" ht="15" hidden="false" customHeight="true" outlineLevel="0" collapsed="false">
      <c r="A17" s="53" t="s">
        <v>184</v>
      </c>
      <c r="B17" s="54" t="n">
        <f aca="false">B7</f>
        <v>65</v>
      </c>
      <c r="C17" s="55" t="str">
        <f aca="false">REPT("█",B7)</f>
        <v>█████████████████████████████████████████████████████████████████</v>
      </c>
      <c r="D17" s="55"/>
      <c r="E17" s="55"/>
    </row>
    <row r="18" customFormat="false" ht="15" hidden="false" customHeight="true" outlineLevel="0" collapsed="false">
      <c r="A18" s="53" t="s">
        <v>186</v>
      </c>
      <c r="B18" s="54" t="n">
        <f aca="false">B8</f>
        <v>15</v>
      </c>
      <c r="C18" s="55" t="str">
        <f aca="false">REPT("█",B8)</f>
        <v>███████████████</v>
      </c>
      <c r="D18" s="55"/>
      <c r="E18" s="55"/>
    </row>
    <row r="19" customFormat="false" ht="15" hidden="false" customHeight="true" outlineLevel="0" collapsed="false">
      <c r="A19" s="53" t="s">
        <v>188</v>
      </c>
      <c r="B19" s="54" t="n">
        <f aca="false">B9</f>
        <v>11</v>
      </c>
      <c r="C19" s="55" t="str">
        <f aca="false">REPT("█",B9)</f>
        <v>███████████</v>
      </c>
      <c r="D19" s="55"/>
      <c r="E19" s="55"/>
    </row>
    <row r="20" customFormat="false" ht="15" hidden="false" customHeight="true" outlineLevel="0" collapsed="false">
      <c r="A20" s="53" t="s">
        <v>190</v>
      </c>
      <c r="B20" s="54" t="n">
        <f aca="false">B10</f>
        <v>10</v>
      </c>
      <c r="C20" s="55" t="str">
        <f aca="false">REPT("█",B10)</f>
        <v>██████████</v>
      </c>
      <c r="D20" s="55"/>
      <c r="E20" s="55"/>
    </row>
    <row r="21" customFormat="false" ht="15" hidden="false" customHeight="true" outlineLevel="0" collapsed="false">
      <c r="A21" s="53" t="s">
        <v>192</v>
      </c>
      <c r="B21" s="54" t="n">
        <f aca="false">B11</f>
        <v>4</v>
      </c>
      <c r="C21" s="55" t="str">
        <f aca="false">REPT("█",B11)</f>
        <v>████</v>
      </c>
      <c r="D21" s="55"/>
      <c r="E21" s="55"/>
    </row>
  </sheetData>
  <mergeCells count="10">
    <mergeCell ref="A1:F1"/>
    <mergeCell ref="A2:F2"/>
    <mergeCell ref="A14:E14"/>
    <mergeCell ref="C15:E15"/>
    <mergeCell ref="C16:E16"/>
    <mergeCell ref="C17:E17"/>
    <mergeCell ref="C18:E18"/>
    <mergeCell ref="C19:E19"/>
    <mergeCell ref="C20:E20"/>
    <mergeCell ref="C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8" min="5" style="1" width="14"/>
  </cols>
  <sheetData>
    <row r="1" customFormat="false" ht="21.75" hidden="false" customHeight="true" outlineLevel="0" collapsed="false">
      <c r="A1" s="2" t="s">
        <v>195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196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36" t="s">
        <v>80</v>
      </c>
      <c r="B4" s="36" t="s">
        <v>197</v>
      </c>
      <c r="C4" s="36" t="s">
        <v>198</v>
      </c>
      <c r="D4" s="36" t="s">
        <v>8</v>
      </c>
      <c r="E4" s="36" t="s">
        <v>199</v>
      </c>
      <c r="F4" s="36" t="s">
        <v>61</v>
      </c>
      <c r="G4" s="36" t="s">
        <v>200</v>
      </c>
      <c r="H4" s="36" t="s">
        <v>201</v>
      </c>
    </row>
    <row r="5" customFormat="false" ht="15" hidden="false" customHeight="true" outlineLevel="0" collapsed="false">
      <c r="A5" s="31" t="s">
        <v>105</v>
      </c>
      <c r="B5" s="38" t="n">
        <f aca="false">COUNTIF('BD Data'!B2:B165,A5)</f>
        <v>24</v>
      </c>
      <c r="C5" s="38" t="n">
        <f aca="false">COUNTIFS('BD Data'!B2:B165,A5,'BD Data'!N2:N165,"Profile Rejected")</f>
        <v>8</v>
      </c>
      <c r="D5" s="38" t="n">
        <f aca="false">COUNTIFS('BD Data'!B2:B165,A5,'BD Data'!N2:N165,"Profile Shared")+COUNTIFS('BD Data'!B2:B165,A5,'BD Data'!N2:N165,"Awaiting Feedback")+COUNTIFS('BD Data'!B2:B165,A5,'BD Data'!N2:N165,"Shortlisted")+COUNTIFS('BD Data'!B2:B165,A5,'BD Data'!N2:N165,"On Hold")+COUNTIFS('BD Data'!B2:B165,A5,'BD Data'!N2:N165,"Interview")</f>
        <v>9</v>
      </c>
      <c r="E5" s="38" t="n">
        <f aca="false">COUNTIFS('BD Data'!B2:B165,A5,'BD Data'!N2:N165,"Final Select")</f>
        <v>3</v>
      </c>
      <c r="F5" s="38" t="n">
        <f aca="false">COUNTIFS('BD Data'!B2:B165,A5,'BD Data'!N2:N165,"Onboarded")</f>
        <v>0</v>
      </c>
      <c r="G5" s="56" t="n">
        <f aca="false">IFERROR(C5/B5,0)</f>
        <v>0.333333333333333</v>
      </c>
      <c r="H5" s="56" t="n">
        <f aca="false">IFERROR(F5/B5,0)</f>
        <v>0</v>
      </c>
    </row>
    <row r="6" customFormat="false" ht="15" hidden="false" customHeight="true" outlineLevel="0" collapsed="false">
      <c r="A6" s="31" t="s">
        <v>116</v>
      </c>
      <c r="B6" s="38" t="n">
        <f aca="false">COUNTIF('BD Data'!B2:B165,A6)</f>
        <v>13</v>
      </c>
      <c r="C6" s="38" t="n">
        <f aca="false">COUNTIFS('BD Data'!B2:B165,A6,'BD Data'!N2:N165,"Profile Rejected")</f>
        <v>3</v>
      </c>
      <c r="D6" s="38" t="n">
        <f aca="false">COUNTIFS('BD Data'!B2:B165,A6,'BD Data'!N2:N165,"Profile Shared")+COUNTIFS('BD Data'!B2:B165,A6,'BD Data'!N2:N165,"Awaiting Feedback")+COUNTIFS('BD Data'!B2:B165,A6,'BD Data'!N2:N165,"Shortlisted")+COUNTIFS('BD Data'!B2:B165,A6,'BD Data'!N2:N165,"On Hold")+COUNTIFS('BD Data'!B2:B165,A6,'BD Data'!N2:N165,"Interview")</f>
        <v>8</v>
      </c>
      <c r="E6" s="38" t="n">
        <f aca="false">COUNTIFS('BD Data'!B2:B165,A6,'BD Data'!N2:N165,"Final Select")</f>
        <v>1</v>
      </c>
      <c r="F6" s="38" t="n">
        <f aca="false">COUNTIFS('BD Data'!B2:B165,A6,'BD Data'!N2:N165,"Onboarded")</f>
        <v>0</v>
      </c>
      <c r="G6" s="56" t="n">
        <f aca="false">IFERROR(C6/B6,0)</f>
        <v>0.230769230769231</v>
      </c>
      <c r="H6" s="56" t="n">
        <f aca="false">IFERROR(F6/B6,0)</f>
        <v>0</v>
      </c>
    </row>
    <row r="7" customFormat="false" ht="15" hidden="false" customHeight="true" outlineLevel="0" collapsed="false">
      <c r="A7" s="31" t="s">
        <v>144</v>
      </c>
      <c r="B7" s="38" t="n">
        <f aca="false">COUNTIF('BD Data'!B2:B165,A7)</f>
        <v>13</v>
      </c>
      <c r="C7" s="38" t="n">
        <f aca="false">COUNTIFS('BD Data'!B2:B165,A7,'BD Data'!N2:N165,"Profile Rejected")</f>
        <v>7</v>
      </c>
      <c r="D7" s="38" t="n">
        <f aca="false">COUNTIFS('BD Data'!B2:B165,A7,'BD Data'!N2:N165,"Profile Shared")+COUNTIFS('BD Data'!B2:B165,A7,'BD Data'!N2:N165,"Awaiting Feedback")+COUNTIFS('BD Data'!B2:B165,A7,'BD Data'!N2:N165,"Shortlisted")+COUNTIFS('BD Data'!B2:B165,A7,'BD Data'!N2:N165,"On Hold")+COUNTIFS('BD Data'!B2:B165,A7,'BD Data'!N2:N165,"Interview")</f>
        <v>2</v>
      </c>
      <c r="E7" s="38" t="n">
        <f aca="false">COUNTIFS('BD Data'!B2:B165,A7,'BD Data'!N2:N165,"Final Select")</f>
        <v>0</v>
      </c>
      <c r="F7" s="38" t="n">
        <f aca="false">COUNTIFS('BD Data'!B2:B165,A7,'BD Data'!N2:N165,"Onboarded")</f>
        <v>0</v>
      </c>
      <c r="G7" s="56" t="n">
        <f aca="false">IFERROR(C7/B7,0)</f>
        <v>0.538461538461538</v>
      </c>
      <c r="H7" s="56" t="n">
        <f aca="false">IFERROR(F7/B7,0)</f>
        <v>0</v>
      </c>
    </row>
    <row r="8" customFormat="false" ht="15" hidden="false" customHeight="true" outlineLevel="0" collapsed="false">
      <c r="A8" s="31" t="s">
        <v>127</v>
      </c>
      <c r="B8" s="38" t="n">
        <f aca="false">COUNTIF('BD Data'!B2:B165,A8)</f>
        <v>10</v>
      </c>
      <c r="C8" s="38" t="n">
        <f aca="false">COUNTIFS('BD Data'!B2:B165,A8,'BD Data'!N2:N165,"Profile Rejected")</f>
        <v>5</v>
      </c>
      <c r="D8" s="38" t="n">
        <f aca="false">COUNTIFS('BD Data'!B2:B165,A8,'BD Data'!N2:N165,"Profile Shared")+COUNTIFS('BD Data'!B2:B165,A8,'BD Data'!N2:N165,"Awaiting Feedback")+COUNTIFS('BD Data'!B2:B165,A8,'BD Data'!N2:N165,"Shortlisted")+COUNTIFS('BD Data'!B2:B165,A8,'BD Data'!N2:N165,"On Hold")+COUNTIFS('BD Data'!B2:B165,A8,'BD Data'!N2:N165,"Interview")</f>
        <v>1</v>
      </c>
      <c r="E8" s="38" t="n">
        <f aca="false">COUNTIFS('BD Data'!B2:B165,A8,'BD Data'!N2:N165,"Final Select")</f>
        <v>0</v>
      </c>
      <c r="F8" s="38" t="n">
        <f aca="false">COUNTIFS('BD Data'!B2:B165,A8,'BD Data'!N2:N165,"Onboarded")</f>
        <v>1</v>
      </c>
      <c r="G8" s="56" t="n">
        <f aca="false">IFERROR(C8/B8,0)</f>
        <v>0.5</v>
      </c>
      <c r="H8" s="56" t="n">
        <f aca="false">IFERROR(F8/B8,0)</f>
        <v>0.1</v>
      </c>
    </row>
    <row r="9" customFormat="false" ht="15" hidden="false" customHeight="true" outlineLevel="0" collapsed="false">
      <c r="A9" s="31" t="s">
        <v>149</v>
      </c>
      <c r="B9" s="38" t="n">
        <f aca="false">COUNTIF('BD Data'!B2:B165,A9)</f>
        <v>12</v>
      </c>
      <c r="C9" s="38" t="n">
        <f aca="false">COUNTIFS('BD Data'!B2:B165,A9,'BD Data'!N2:N165,"Profile Rejected")</f>
        <v>6</v>
      </c>
      <c r="D9" s="38" t="n">
        <f aca="false">COUNTIFS('BD Data'!B2:B165,A9,'BD Data'!N2:N165,"Profile Shared")+COUNTIFS('BD Data'!B2:B165,A9,'BD Data'!N2:N165,"Awaiting Feedback")+COUNTIFS('BD Data'!B2:B165,A9,'BD Data'!N2:N165,"Shortlisted")+COUNTIFS('BD Data'!B2:B165,A9,'BD Data'!N2:N165,"On Hold")+COUNTIFS('BD Data'!B2:B165,A9,'BD Data'!N2:N165,"Interview")</f>
        <v>1</v>
      </c>
      <c r="E9" s="38" t="n">
        <f aca="false">COUNTIFS('BD Data'!B2:B165,A9,'BD Data'!N2:N165,"Final Select")</f>
        <v>0</v>
      </c>
      <c r="F9" s="38" t="n">
        <f aca="false">COUNTIFS('BD Data'!B2:B165,A9,'BD Data'!N2:N165,"Onboarded")</f>
        <v>1</v>
      </c>
      <c r="G9" s="56" t="n">
        <f aca="false">IFERROR(C9/B9,0)</f>
        <v>0.5</v>
      </c>
      <c r="H9" s="56" t="n">
        <f aca="false">IFERROR(F9/B9,0)</f>
        <v>0.0833333333333333</v>
      </c>
    </row>
    <row r="10" customFormat="false" ht="15" hidden="false" customHeight="true" outlineLevel="0" collapsed="false">
      <c r="A10" s="31" t="s">
        <v>202</v>
      </c>
      <c r="B10" s="38" t="n">
        <f aca="false">COUNTIF('BD Data'!B2:B165,A10)</f>
        <v>8</v>
      </c>
      <c r="C10" s="38" t="n">
        <f aca="false">COUNTIFS('BD Data'!B2:B165,A10,'BD Data'!N2:N165,"Profile Rejected")</f>
        <v>2</v>
      </c>
      <c r="D10" s="38" t="n">
        <f aca="false">COUNTIFS('BD Data'!B2:B165,A10,'BD Data'!N2:N165,"Profile Shared")+COUNTIFS('BD Data'!B2:B165,A10,'BD Data'!N2:N165,"Awaiting Feedback")+COUNTIFS('BD Data'!B2:B165,A10,'BD Data'!N2:N165,"Shortlisted")+COUNTIFS('BD Data'!B2:B165,A10,'BD Data'!N2:N165,"On Hold")+COUNTIFS('BD Data'!B2:B165,A10,'BD Data'!N2:N165,"Interview")</f>
        <v>0</v>
      </c>
      <c r="E10" s="38" t="n">
        <f aca="false">COUNTIFS('BD Data'!B2:B165,A10,'BD Data'!N2:N165,"Final Select")</f>
        <v>0</v>
      </c>
      <c r="F10" s="38" t="n">
        <f aca="false">COUNTIFS('BD Data'!B2:B165,A10,'BD Data'!N2:N165,"Onboarded")</f>
        <v>0</v>
      </c>
      <c r="G10" s="56" t="n">
        <f aca="false">IFERROR(C10/B10,0)</f>
        <v>0.25</v>
      </c>
      <c r="H10" s="56" t="n">
        <f aca="false">IFERROR(F10/B10,0)</f>
        <v>0</v>
      </c>
    </row>
    <row r="11" customFormat="false" ht="15" hidden="false" customHeight="true" outlineLevel="0" collapsed="false">
      <c r="A11" s="31" t="s">
        <v>130</v>
      </c>
      <c r="B11" s="38" t="n">
        <f aca="false">COUNTIF('BD Data'!B2:B165,A11)</f>
        <v>9</v>
      </c>
      <c r="C11" s="38" t="n">
        <f aca="false">COUNTIFS('BD Data'!B2:B165,A11,'BD Data'!N2:N165,"Profile Rejected")</f>
        <v>5</v>
      </c>
      <c r="D11" s="38" t="n">
        <f aca="false">COUNTIFS('BD Data'!B2:B165,A11,'BD Data'!N2:N165,"Profile Shared")+COUNTIFS('BD Data'!B2:B165,A11,'BD Data'!N2:N165,"Awaiting Feedback")+COUNTIFS('BD Data'!B2:B165,A11,'BD Data'!N2:N165,"Shortlisted")+COUNTIFS('BD Data'!B2:B165,A11,'BD Data'!N2:N165,"On Hold")+COUNTIFS('BD Data'!B2:B165,A11,'BD Data'!N2:N165,"Interview")</f>
        <v>3</v>
      </c>
      <c r="E11" s="38" t="n">
        <f aca="false">COUNTIFS('BD Data'!B2:B165,A11,'BD Data'!N2:N165,"Final Select")</f>
        <v>1</v>
      </c>
      <c r="F11" s="38" t="n">
        <f aca="false">COUNTIFS('BD Data'!B2:B165,A11,'BD Data'!N2:N165,"Onboarded")</f>
        <v>0</v>
      </c>
      <c r="G11" s="56" t="n">
        <f aca="false">IFERROR(C11/B11,0)</f>
        <v>0.555555555555556</v>
      </c>
      <c r="H11" s="56" t="n">
        <f aca="false">IFERROR(F11/B11,0)</f>
        <v>0</v>
      </c>
    </row>
    <row r="12" customFormat="false" ht="15" hidden="false" customHeight="true" outlineLevel="0" collapsed="false">
      <c r="A12" s="31" t="s">
        <v>98</v>
      </c>
      <c r="B12" s="38" t="n">
        <f aca="false">COUNTIF('BD Data'!B2:B165,A12)</f>
        <v>7</v>
      </c>
      <c r="C12" s="38" t="n">
        <f aca="false">COUNTIFS('BD Data'!B2:B165,A12,'BD Data'!N2:N165,"Profile Rejected")</f>
        <v>4</v>
      </c>
      <c r="D12" s="38" t="n">
        <f aca="false">COUNTIFS('BD Data'!B2:B165,A12,'BD Data'!N2:N165,"Profile Shared")+COUNTIFS('BD Data'!B2:B165,A12,'BD Data'!N2:N165,"Awaiting Feedback")+COUNTIFS('BD Data'!B2:B165,A12,'BD Data'!N2:N165,"Shortlisted")+COUNTIFS('BD Data'!B2:B165,A12,'BD Data'!N2:N165,"On Hold")+COUNTIFS('BD Data'!B2:B165,A12,'BD Data'!N2:N165,"Interview")</f>
        <v>1</v>
      </c>
      <c r="E12" s="38" t="n">
        <f aca="false">COUNTIFS('BD Data'!B2:B165,A12,'BD Data'!N2:N165,"Final Select")</f>
        <v>0</v>
      </c>
      <c r="F12" s="38" t="n">
        <f aca="false">COUNTIFS('BD Data'!B2:B165,A12,'BD Data'!N2:N165,"Onboarded")</f>
        <v>0</v>
      </c>
      <c r="G12" s="56" t="n">
        <f aca="false">IFERROR(C12/B12,0)</f>
        <v>0.571428571428571</v>
      </c>
      <c r="H12" s="56" t="n">
        <f aca="false">IFERROR(F12/B12,0)</f>
        <v>0</v>
      </c>
    </row>
    <row r="13" customFormat="false" ht="15" hidden="false" customHeight="true" outlineLevel="0" collapsed="false">
      <c r="A13" s="31" t="s">
        <v>118</v>
      </c>
      <c r="B13" s="38" t="n">
        <f aca="false">COUNTIF('BD Data'!B2:B165,A13)</f>
        <v>7</v>
      </c>
      <c r="C13" s="38" t="n">
        <f aca="false">COUNTIFS('BD Data'!B2:B165,A13,'BD Data'!N2:N165,"Profile Rejected")</f>
        <v>2</v>
      </c>
      <c r="D13" s="38" t="n">
        <f aca="false">COUNTIFS('BD Data'!B2:B165,A13,'BD Data'!N2:N165,"Profile Shared")+COUNTIFS('BD Data'!B2:B165,A13,'BD Data'!N2:N165,"Awaiting Feedback")+COUNTIFS('BD Data'!B2:B165,A13,'BD Data'!N2:N165,"Shortlisted")+COUNTIFS('BD Data'!B2:B165,A13,'BD Data'!N2:N165,"On Hold")+COUNTIFS('BD Data'!B2:B165,A13,'BD Data'!N2:N165,"Interview")</f>
        <v>0</v>
      </c>
      <c r="E13" s="38" t="n">
        <f aca="false">COUNTIFS('BD Data'!B2:B165,A13,'BD Data'!N2:N165,"Final Select")</f>
        <v>1</v>
      </c>
      <c r="F13" s="38" t="n">
        <f aca="false">COUNTIFS('BD Data'!B2:B165,A13,'BD Data'!N2:N165,"Onboarded")</f>
        <v>0</v>
      </c>
      <c r="G13" s="56" t="n">
        <f aca="false">IFERROR(C13/B13,0)</f>
        <v>0.285714285714286</v>
      </c>
      <c r="H13" s="56" t="n">
        <f aca="false">IFERROR(F13/B13,0)</f>
        <v>0</v>
      </c>
    </row>
    <row r="14" customFormat="false" ht="15" hidden="false" customHeight="true" outlineLevel="0" collapsed="false">
      <c r="A14" s="31" t="s">
        <v>112</v>
      </c>
      <c r="B14" s="38" t="n">
        <f aca="false">COUNTIF('BD Data'!B2:B165,A14)</f>
        <v>6</v>
      </c>
      <c r="C14" s="38" t="n">
        <f aca="false">COUNTIFS('BD Data'!B2:B165,A14,'BD Data'!N2:N165,"Profile Rejected")</f>
        <v>1</v>
      </c>
      <c r="D14" s="38" t="n">
        <f aca="false">COUNTIFS('BD Data'!B2:B165,A14,'BD Data'!N2:N165,"Profile Shared")+COUNTIFS('BD Data'!B2:B165,A14,'BD Data'!N2:N165,"Awaiting Feedback")+COUNTIFS('BD Data'!B2:B165,A14,'BD Data'!N2:N165,"Shortlisted")+COUNTIFS('BD Data'!B2:B165,A14,'BD Data'!N2:N165,"On Hold")+COUNTIFS('BD Data'!B2:B165,A14,'BD Data'!N2:N165,"Interview")</f>
        <v>5</v>
      </c>
      <c r="E14" s="38" t="n">
        <f aca="false">COUNTIFS('BD Data'!B2:B165,A14,'BD Data'!N2:N165,"Final Select")</f>
        <v>0</v>
      </c>
      <c r="F14" s="38" t="n">
        <f aca="false">COUNTIFS('BD Data'!B2:B165,A14,'BD Data'!N2:N165,"Onboarded")</f>
        <v>0</v>
      </c>
      <c r="G14" s="56" t="n">
        <f aca="false">IFERROR(C14/B14,0)</f>
        <v>0.166666666666667</v>
      </c>
      <c r="H14" s="56" t="n">
        <f aca="false">IFERROR(F14/B14,0)</f>
        <v>0</v>
      </c>
    </row>
    <row r="15" customFormat="false" ht="15" hidden="false" customHeight="true" outlineLevel="0" collapsed="false">
      <c r="A15" s="31" t="s">
        <v>141</v>
      </c>
      <c r="B15" s="38" t="n">
        <f aca="false">COUNTIF('BD Data'!B2:B165,A15)</f>
        <v>5</v>
      </c>
      <c r="C15" s="38" t="n">
        <f aca="false">COUNTIFS('BD Data'!B2:B165,A15,'BD Data'!N2:N165,"Profile Rejected")</f>
        <v>0</v>
      </c>
      <c r="D15" s="38" t="n">
        <f aca="false">COUNTIFS('BD Data'!B2:B165,A15,'BD Data'!N2:N165,"Profile Shared")+COUNTIFS('BD Data'!B2:B165,A15,'BD Data'!N2:N165,"Awaiting Feedback")+COUNTIFS('BD Data'!B2:B165,A15,'BD Data'!N2:N165,"Shortlisted")+COUNTIFS('BD Data'!B2:B165,A15,'BD Data'!N2:N165,"On Hold")+COUNTIFS('BD Data'!B2:B165,A15,'BD Data'!N2:N165,"Interview")</f>
        <v>4</v>
      </c>
      <c r="E15" s="38" t="n">
        <f aca="false">COUNTIFS('BD Data'!B2:B165,A15,'BD Data'!N2:N165,"Final Select")</f>
        <v>0</v>
      </c>
      <c r="F15" s="38" t="n">
        <f aca="false">COUNTIFS('BD Data'!B2:B165,A15,'BD Data'!N2:N165,"Onboarded")</f>
        <v>1</v>
      </c>
      <c r="G15" s="56" t="n">
        <f aca="false">IFERROR(C15/B15,0)</f>
        <v>0</v>
      </c>
      <c r="H15" s="56" t="n">
        <f aca="false">IFERROR(F15/B15,0)</f>
        <v>0.2</v>
      </c>
    </row>
    <row r="16" customFormat="false" ht="15" hidden="false" customHeight="true" outlineLevel="0" collapsed="false">
      <c r="A16" s="31" t="s">
        <v>101</v>
      </c>
      <c r="B16" s="38" t="n">
        <f aca="false">COUNTIF('BD Data'!B2:B165,A16)</f>
        <v>5</v>
      </c>
      <c r="C16" s="38" t="n">
        <f aca="false">COUNTIFS('BD Data'!B2:B165,A16,'BD Data'!N2:N165,"Profile Rejected")</f>
        <v>1</v>
      </c>
      <c r="D16" s="38" t="n">
        <f aca="false">COUNTIFS('BD Data'!B2:B165,A16,'BD Data'!N2:N165,"Profile Shared")+COUNTIFS('BD Data'!B2:B165,A16,'BD Data'!N2:N165,"Awaiting Feedback")+COUNTIFS('BD Data'!B2:B165,A16,'BD Data'!N2:N165,"Shortlisted")+COUNTIFS('BD Data'!B2:B165,A16,'BD Data'!N2:N165,"On Hold")+COUNTIFS('BD Data'!B2:B165,A16,'BD Data'!N2:N165,"Interview")</f>
        <v>4</v>
      </c>
      <c r="E16" s="38" t="n">
        <f aca="false">COUNTIFS('BD Data'!B2:B165,A16,'BD Data'!N2:N165,"Final Select")</f>
        <v>0</v>
      </c>
      <c r="F16" s="38" t="n">
        <f aca="false">COUNTIFS('BD Data'!B2:B165,A16,'BD Data'!N2:N165,"Onboarded")</f>
        <v>0</v>
      </c>
      <c r="G16" s="56" t="n">
        <f aca="false">IFERROR(C16/B16,0)</f>
        <v>0.2</v>
      </c>
      <c r="H16" s="56" t="n">
        <f aca="false">IFERROR(F16/B16,0)</f>
        <v>0</v>
      </c>
    </row>
    <row r="17" customFormat="false" ht="15" hidden="false" customHeight="true" outlineLevel="0" collapsed="false">
      <c r="A17" s="31" t="s">
        <v>107</v>
      </c>
      <c r="B17" s="38" t="n">
        <f aca="false">COUNTIF('BD Data'!B2:B165,A17)</f>
        <v>5</v>
      </c>
      <c r="C17" s="38" t="n">
        <f aca="false">COUNTIFS('BD Data'!B2:B165,A17,'BD Data'!N2:N165,"Profile Rejected")</f>
        <v>2</v>
      </c>
      <c r="D17" s="38" t="n">
        <f aca="false">COUNTIFS('BD Data'!B2:B165,A17,'BD Data'!N2:N165,"Profile Shared")+COUNTIFS('BD Data'!B2:B165,A17,'BD Data'!N2:N165,"Awaiting Feedback")+COUNTIFS('BD Data'!B2:B165,A17,'BD Data'!N2:N165,"Shortlisted")+COUNTIFS('BD Data'!B2:B165,A17,'BD Data'!N2:N165,"On Hold")+COUNTIFS('BD Data'!B2:B165,A17,'BD Data'!N2:N165,"Interview")</f>
        <v>2</v>
      </c>
      <c r="E17" s="38" t="n">
        <f aca="false">COUNTIFS('BD Data'!B2:B165,A17,'BD Data'!N2:N165,"Final Select")</f>
        <v>0</v>
      </c>
      <c r="F17" s="38" t="n">
        <f aca="false">COUNTIFS('BD Data'!B2:B165,A17,'BD Data'!N2:N165,"Onboarded")</f>
        <v>0</v>
      </c>
      <c r="G17" s="56" t="n">
        <f aca="false">IFERROR(C17/B17,0)</f>
        <v>0.4</v>
      </c>
      <c r="H17" s="56" t="n">
        <f aca="false">IFERROR(F17/B17,0)</f>
        <v>0</v>
      </c>
    </row>
    <row r="18" customFormat="false" ht="15" hidden="false" customHeight="true" outlineLevel="0" collapsed="false">
      <c r="A18" s="31" t="s">
        <v>203</v>
      </c>
      <c r="B18" s="38" t="n">
        <f aca="false">COUNTIF('BD Data'!B2:B165,A18)</f>
        <v>5</v>
      </c>
      <c r="C18" s="38" t="n">
        <f aca="false">COUNTIFS('BD Data'!B2:B165,A18,'BD Data'!N2:N165,"Profile Rejected")</f>
        <v>0</v>
      </c>
      <c r="D18" s="38" t="n">
        <f aca="false">COUNTIFS('BD Data'!B2:B165,A18,'BD Data'!N2:N165,"Profile Shared")+COUNTIFS('BD Data'!B2:B165,A18,'BD Data'!N2:N165,"Awaiting Feedback")+COUNTIFS('BD Data'!B2:B165,A18,'BD Data'!N2:N165,"Shortlisted")+COUNTIFS('BD Data'!B2:B165,A18,'BD Data'!N2:N165,"On Hold")+COUNTIFS('BD Data'!B2:B165,A18,'BD Data'!N2:N165,"Interview")</f>
        <v>0</v>
      </c>
      <c r="E18" s="38" t="n">
        <f aca="false">COUNTIFS('BD Data'!B2:B165,A18,'BD Data'!N2:N165,"Final Select")</f>
        <v>0</v>
      </c>
      <c r="F18" s="38" t="n">
        <f aca="false">COUNTIFS('BD Data'!B2:B165,A18,'BD Data'!N2:N165,"Onboarded")</f>
        <v>0</v>
      </c>
      <c r="G18" s="56" t="n">
        <f aca="false">IFERROR(C18/B18,0)</f>
        <v>0</v>
      </c>
      <c r="H18" s="56" t="n">
        <f aca="false">IFERROR(F18/B18,0)</f>
        <v>0</v>
      </c>
    </row>
    <row r="19" customFormat="false" ht="15" hidden="false" customHeight="true" outlineLevel="0" collapsed="false">
      <c r="A19" s="31" t="s">
        <v>204</v>
      </c>
      <c r="B19" s="38" t="n">
        <f aca="false">COUNTIF('BD Data'!B2:B165,A19)</f>
        <v>4</v>
      </c>
      <c r="C19" s="38" t="n">
        <f aca="false">COUNTIFS('BD Data'!B2:B165,A19,'BD Data'!N2:N165,"Profile Rejected")</f>
        <v>1</v>
      </c>
      <c r="D19" s="38" t="n">
        <f aca="false">COUNTIFS('BD Data'!B2:B165,A19,'BD Data'!N2:N165,"Profile Shared")+COUNTIFS('BD Data'!B2:B165,A19,'BD Data'!N2:N165,"Awaiting Feedback")+COUNTIFS('BD Data'!B2:B165,A19,'BD Data'!N2:N165,"Shortlisted")+COUNTIFS('BD Data'!B2:B165,A19,'BD Data'!N2:N165,"On Hold")+COUNTIFS('BD Data'!B2:B165,A19,'BD Data'!N2:N165,"Interview")</f>
        <v>0</v>
      </c>
      <c r="E19" s="38" t="n">
        <f aca="false">COUNTIFS('BD Data'!B2:B165,A19,'BD Data'!N2:N165,"Final Select")</f>
        <v>0</v>
      </c>
      <c r="F19" s="38" t="n">
        <f aca="false">COUNTIFS('BD Data'!B2:B165,A19,'BD Data'!N2:N165,"Onboarded")</f>
        <v>0</v>
      </c>
      <c r="G19" s="56" t="n">
        <f aca="false">IFERROR(C19/B19,0)</f>
        <v>0.25</v>
      </c>
      <c r="H19" s="56" t="n">
        <f aca="false">IFERROR(F19/B19,0)</f>
        <v>0</v>
      </c>
    </row>
    <row r="20" customFormat="false" ht="15" hidden="false" customHeight="true" outlineLevel="0" collapsed="false">
      <c r="A20" s="31" t="s">
        <v>138</v>
      </c>
      <c r="B20" s="38" t="n">
        <f aca="false">COUNTIF('BD Data'!B2:B165,A20)</f>
        <v>4</v>
      </c>
      <c r="C20" s="38" t="n">
        <f aca="false">COUNTIFS('BD Data'!B2:B165,A20,'BD Data'!N2:N165,"Profile Rejected")</f>
        <v>0</v>
      </c>
      <c r="D20" s="38" t="n">
        <f aca="false">COUNTIFS('BD Data'!B2:B165,A20,'BD Data'!N2:N165,"Profile Shared")+COUNTIFS('BD Data'!B2:B165,A20,'BD Data'!N2:N165,"Awaiting Feedback")+COUNTIFS('BD Data'!B2:B165,A20,'BD Data'!N2:N165,"Shortlisted")+COUNTIFS('BD Data'!B2:B165,A20,'BD Data'!N2:N165,"On Hold")+COUNTIFS('BD Data'!B2:B165,A20,'BD Data'!N2:N165,"Interview")</f>
        <v>4</v>
      </c>
      <c r="E20" s="38" t="n">
        <f aca="false">COUNTIFS('BD Data'!B2:B165,A20,'BD Data'!N2:N165,"Final Select")</f>
        <v>0</v>
      </c>
      <c r="F20" s="38" t="n">
        <f aca="false">COUNTIFS('BD Data'!B2:B165,A20,'BD Data'!N2:N165,"Onboarded")</f>
        <v>0</v>
      </c>
      <c r="G20" s="56" t="n">
        <f aca="false">IFERROR(C20/B20,0)</f>
        <v>0</v>
      </c>
      <c r="H20" s="56" t="n">
        <f aca="false">IFERROR(F20/B20,0)</f>
        <v>0</v>
      </c>
    </row>
    <row r="21" customFormat="false" ht="15" hidden="false" customHeight="true" outlineLevel="0" collapsed="false">
      <c r="A21" s="31" t="s">
        <v>156</v>
      </c>
      <c r="B21" s="38" t="n">
        <f aca="false">COUNTIF('BD Data'!B2:B165,A21)</f>
        <v>4</v>
      </c>
      <c r="C21" s="38" t="n">
        <f aca="false">COUNTIFS('BD Data'!B2:B165,A21,'BD Data'!N2:N165,"Profile Rejected")</f>
        <v>3</v>
      </c>
      <c r="D21" s="38" t="n">
        <f aca="false">COUNTIFS('BD Data'!B2:B165,A21,'BD Data'!N2:N165,"Profile Shared")+COUNTIFS('BD Data'!B2:B165,A21,'BD Data'!N2:N165,"Awaiting Feedback")+COUNTIFS('BD Data'!B2:B165,A21,'BD Data'!N2:N165,"Shortlisted")+COUNTIFS('BD Data'!B2:B165,A21,'BD Data'!N2:N165,"On Hold")+COUNTIFS('BD Data'!B2:B165,A21,'BD Data'!N2:N165,"Interview")</f>
        <v>1</v>
      </c>
      <c r="E21" s="38" t="n">
        <f aca="false">COUNTIFS('BD Data'!B2:B165,A21,'BD Data'!N2:N165,"Final Select")</f>
        <v>0</v>
      </c>
      <c r="F21" s="38" t="n">
        <f aca="false">COUNTIFS('BD Data'!B2:B165,A21,'BD Data'!N2:N165,"Onboarded")</f>
        <v>0</v>
      </c>
      <c r="G21" s="56" t="n">
        <f aca="false">IFERROR(C21/B21,0)</f>
        <v>0.75</v>
      </c>
      <c r="H21" s="56" t="n">
        <f aca="false">IFERROR(F21/B21,0)</f>
        <v>0</v>
      </c>
    </row>
    <row r="22" customFormat="false" ht="15" hidden="false" customHeight="true" outlineLevel="0" collapsed="false">
      <c r="A22" s="31" t="s">
        <v>205</v>
      </c>
      <c r="B22" s="38" t="n">
        <f aca="false">COUNTIF('BD Data'!B2:B165,A22)</f>
        <v>3</v>
      </c>
      <c r="C22" s="38" t="n">
        <f aca="false">COUNTIFS('BD Data'!B2:B165,A22,'BD Data'!N2:N165,"Profile Rejected")</f>
        <v>0</v>
      </c>
      <c r="D22" s="38" t="n">
        <f aca="false">COUNTIFS('BD Data'!B2:B165,A22,'BD Data'!N2:N165,"Profile Shared")+COUNTIFS('BD Data'!B2:B165,A22,'BD Data'!N2:N165,"Awaiting Feedback")+COUNTIFS('BD Data'!B2:B165,A22,'BD Data'!N2:N165,"Shortlisted")+COUNTIFS('BD Data'!B2:B165,A22,'BD Data'!N2:N165,"On Hold")+COUNTIFS('BD Data'!B2:B165,A22,'BD Data'!N2:N165,"Interview")</f>
        <v>0</v>
      </c>
      <c r="E22" s="38" t="n">
        <f aca="false">COUNTIFS('BD Data'!B2:B165,A22,'BD Data'!N2:N165,"Final Select")</f>
        <v>0</v>
      </c>
      <c r="F22" s="38" t="n">
        <f aca="false">COUNTIFS('BD Data'!B2:B165,A22,'BD Data'!N2:N165,"Onboarded")</f>
        <v>0</v>
      </c>
      <c r="G22" s="56" t="n">
        <f aca="false">IFERROR(C22/B22,0)</f>
        <v>0</v>
      </c>
      <c r="H22" s="56" t="n">
        <f aca="false">IFERROR(F22/B22,0)</f>
        <v>0</v>
      </c>
    </row>
    <row r="23" customFormat="false" ht="15" hidden="false" customHeight="true" outlineLevel="0" collapsed="false">
      <c r="A23" s="31" t="s">
        <v>152</v>
      </c>
      <c r="B23" s="38" t="n">
        <f aca="false">COUNTIF('BD Data'!B2:B165,A23)</f>
        <v>3</v>
      </c>
      <c r="C23" s="38" t="n">
        <f aca="false">COUNTIFS('BD Data'!B2:B165,A23,'BD Data'!N2:N165,"Profile Rejected")</f>
        <v>1</v>
      </c>
      <c r="D23" s="38" t="n">
        <f aca="false">COUNTIFS('BD Data'!B2:B165,A23,'BD Data'!N2:N165,"Profile Shared")+COUNTIFS('BD Data'!B2:B165,A23,'BD Data'!N2:N165,"Awaiting Feedback")+COUNTIFS('BD Data'!B2:B165,A23,'BD Data'!N2:N165,"Shortlisted")+COUNTIFS('BD Data'!B2:B165,A23,'BD Data'!N2:N165,"On Hold")+COUNTIFS('BD Data'!B2:B165,A23,'BD Data'!N2:N165,"Interview")</f>
        <v>2</v>
      </c>
      <c r="E23" s="38" t="n">
        <f aca="false">COUNTIFS('BD Data'!B2:B165,A23,'BD Data'!N2:N165,"Final Select")</f>
        <v>0</v>
      </c>
      <c r="F23" s="38" t="n">
        <f aca="false">COUNTIFS('BD Data'!B2:B165,A23,'BD Data'!N2:N165,"Onboarded")</f>
        <v>0</v>
      </c>
      <c r="G23" s="56" t="n">
        <f aca="false">IFERROR(C23/B23,0)</f>
        <v>0.333333333333333</v>
      </c>
      <c r="H23" s="56" t="n">
        <f aca="false">IFERROR(F23/B23,0)</f>
        <v>0</v>
      </c>
    </row>
    <row r="24" customFormat="false" ht="15" hidden="false" customHeight="true" outlineLevel="0" collapsed="false">
      <c r="A24" s="31" t="s">
        <v>206</v>
      </c>
      <c r="B24" s="38" t="n">
        <f aca="false">COUNTIF('BD Data'!B2:B165,A24)</f>
        <v>0</v>
      </c>
      <c r="C24" s="38" t="n">
        <f aca="false">COUNTIFS('BD Data'!B2:B165,A24,'BD Data'!N2:N165,"Profile Rejected")</f>
        <v>0</v>
      </c>
      <c r="D24" s="38" t="n">
        <f aca="false">COUNTIFS('BD Data'!B2:B165,A24,'BD Data'!N2:N165,"Profile Shared")+COUNTIFS('BD Data'!B2:B165,A24,'BD Data'!N2:N165,"Awaiting Feedback")+COUNTIFS('BD Data'!B2:B165,A24,'BD Data'!N2:N165,"Shortlisted")+COUNTIFS('BD Data'!B2:B165,A24,'BD Data'!N2:N165,"On Hold")+COUNTIFS('BD Data'!B2:B165,A24,'BD Data'!N2:N165,"Interview")</f>
        <v>0</v>
      </c>
      <c r="E24" s="38" t="n">
        <f aca="false">COUNTIFS('BD Data'!B2:B165,A24,'BD Data'!N2:N165,"Final Select")</f>
        <v>0</v>
      </c>
      <c r="F24" s="38" t="n">
        <f aca="false">COUNTIFS('BD Data'!B2:B165,A24,'BD Data'!N2:N165,"Onboarded")</f>
        <v>0</v>
      </c>
      <c r="G24" s="56" t="n">
        <f aca="false">IFERROR(C24/B24,0)</f>
        <v>0</v>
      </c>
      <c r="H24" s="56" t="n">
        <f aca="false">IFERROR(F24/B24,0)</f>
        <v>0</v>
      </c>
    </row>
    <row r="25" customFormat="false" ht="15" hidden="false" customHeight="true" outlineLevel="0" collapsed="false">
      <c r="A25" s="57" t="s">
        <v>207</v>
      </c>
      <c r="B25" s="58" t="n">
        <f aca="false">SUM(B5:B24)</f>
        <v>147</v>
      </c>
      <c r="C25" s="58" t="n">
        <f aca="false">SUM(C5:C24)</f>
        <v>51</v>
      </c>
      <c r="D25" s="58" t="n">
        <f aca="false">SUM(D5:D24)</f>
        <v>47</v>
      </c>
      <c r="E25" s="58" t="n">
        <f aca="false">SUM(E5:E24)</f>
        <v>6</v>
      </c>
      <c r="F25" s="58" t="n">
        <f aca="false">SUM(F5:F24)</f>
        <v>3</v>
      </c>
      <c r="G25" s="59" t="n">
        <f aca="false">IFERROR(C25/B25,0)</f>
        <v>0.346938775510204</v>
      </c>
      <c r="H25" s="59" t="n">
        <f aca="false">IFERROR(F25/B25,0)</f>
        <v>0.0204081632653061</v>
      </c>
    </row>
  </sheetData>
  <mergeCells count="2">
    <mergeCell ref="A1:H1"/>
    <mergeCell ref="A2:H2"/>
  </mergeCells>
  <conditionalFormatting sqref="G5:G24">
    <cfRule type="colorScale" priority="2">
      <colorScale>
        <cfvo type="num" val="0"/>
        <cfvo type="num" val="0.4"/>
        <cfvo type="num" val="0.7"/>
        <color rgb="FF63BE7B"/>
        <color rgb="FFFFEB84"/>
        <color rgb="FFF8696B"/>
      </colorScale>
    </cfRule>
  </conditionalFormatting>
  <conditionalFormatting sqref="H5:H24">
    <cfRule type="colorScale" priority="3">
      <colorScale>
        <cfvo type="num" val="0"/>
        <cfvo type="num" val="0.05"/>
        <cfvo type="num" val="0.2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2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30"/>
  </cols>
  <sheetData>
    <row r="1" customFormat="false" ht="21.75" hidden="false" customHeight="true" outlineLevel="0" collapsed="false">
      <c r="A1" s="2" t="s">
        <v>208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209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36" t="s">
        <v>81</v>
      </c>
      <c r="B4" s="36" t="s">
        <v>210</v>
      </c>
      <c r="C4" s="36" t="s">
        <v>211</v>
      </c>
      <c r="D4" s="36" t="s">
        <v>212</v>
      </c>
      <c r="E4" s="36" t="s">
        <v>61</v>
      </c>
      <c r="F4" s="36" t="s">
        <v>197</v>
      </c>
      <c r="G4" s="36" t="s">
        <v>213</v>
      </c>
      <c r="H4" s="36" t="s">
        <v>214</v>
      </c>
    </row>
    <row r="5" customFormat="false" ht="15" hidden="false" customHeight="true" outlineLevel="0" collapsed="false">
      <c r="A5" s="31" t="s">
        <v>93</v>
      </c>
      <c r="B5" s="38" t="n">
        <f aca="false">SUMPRODUCT(ISNUMBER(SEARCH("Java",'BD Data'!C2:C165))*1)</f>
        <v>62</v>
      </c>
      <c r="C5" s="38" t="n">
        <f aca="false">SUMPRODUCT(ISNUMBER(SEARCH("Java",'Bench Data'!L2:L78))*('Bench Data'!D2:D78="RFD"))</f>
        <v>42</v>
      </c>
      <c r="D5" s="38" t="n">
        <f aca="false">C5-B5</f>
        <v>-20</v>
      </c>
      <c r="E5" s="38" t="n">
        <f aca="false">SUMPRODUCT(ISNUMBER(SEARCH("Java",'BD Data'!C2:C165))*('BD Data'!N2:N165="Onboarded"))</f>
        <v>0</v>
      </c>
      <c r="F5" s="38" t="n">
        <f aca="false">B5</f>
        <v>62</v>
      </c>
      <c r="G5" s="56" t="n">
        <f aca="false">IFERROR(E5/F5,0)</f>
        <v>0</v>
      </c>
      <c r="H5" s="60" t="s">
        <v>215</v>
      </c>
    </row>
    <row r="6" customFormat="false" ht="15" hidden="false" customHeight="true" outlineLevel="0" collapsed="false">
      <c r="A6" s="31" t="s">
        <v>102</v>
      </c>
      <c r="B6" s="38" t="n">
        <f aca="false">SUMPRODUCT(ISNUMBER(SEARCH("JFSR",'BD Data'!C2:C165))*1)</f>
        <v>9</v>
      </c>
      <c r="C6" s="38" t="n">
        <f aca="false">SUMPRODUCT(ISNUMBER(SEARCH("JFSR",'Bench Data'!L2:L78))*('Bench Data'!D2:D78="RFD"))</f>
        <v>10</v>
      </c>
      <c r="D6" s="38" t="n">
        <f aca="false">C6-B6</f>
        <v>1</v>
      </c>
      <c r="E6" s="38" t="n">
        <f aca="false">SUMPRODUCT(ISNUMBER(SEARCH("JFSR",'BD Data'!C2:C165))*('BD Data'!N2:N165="Onboarded"))</f>
        <v>0</v>
      </c>
      <c r="F6" s="38" t="n">
        <f aca="false">B6</f>
        <v>9</v>
      </c>
      <c r="G6" s="56" t="n">
        <f aca="false">IFERROR(E6/F6,0)</f>
        <v>0</v>
      </c>
      <c r="H6" s="60" t="s">
        <v>215</v>
      </c>
    </row>
    <row r="7" customFormat="false" ht="15" hidden="false" customHeight="true" outlineLevel="0" collapsed="false">
      <c r="A7" s="31" t="s">
        <v>142</v>
      </c>
      <c r="B7" s="38" t="n">
        <f aca="false">SUMPRODUCT(ISNUMBER(SEARCH("React",'BD Data'!C2:C165))*1)</f>
        <v>19</v>
      </c>
      <c r="C7" s="38" t="n">
        <f aca="false">SUMPRODUCT(ISNUMBER(SEARCH("React",'Bench Data'!L2:L78))*('Bench Data'!D2:D78="RFD"))</f>
        <v>18</v>
      </c>
      <c r="D7" s="38" t="n">
        <f aca="false">C7-B7</f>
        <v>-1</v>
      </c>
      <c r="E7" s="38" t="n">
        <f aca="false">SUMPRODUCT(ISNUMBER(SEARCH("React",'BD Data'!C2:C165))*('BD Data'!N2:N165="Onboarded"))</f>
        <v>1</v>
      </c>
      <c r="F7" s="38" t="n">
        <f aca="false">B7</f>
        <v>19</v>
      </c>
      <c r="G7" s="56" t="n">
        <f aca="false">IFERROR(E7/F7,0)</f>
        <v>0.0526315789473684</v>
      </c>
      <c r="H7" s="60" t="s">
        <v>215</v>
      </c>
    </row>
    <row r="8" customFormat="false" ht="26.25" hidden="false" customHeight="true" outlineLevel="0" collapsed="false">
      <c r="A8" s="31" t="s">
        <v>165</v>
      </c>
      <c r="B8" s="38" t="n">
        <f aca="false">SUMPRODUCT(ISNUMBER(SEARCH("Python",'BD Data'!C2:C165))*1)</f>
        <v>17</v>
      </c>
      <c r="C8" s="38" t="n">
        <f aca="false">SUMPRODUCT(ISNUMBER(SEARCH("Python",'Bench Data'!L2:L78))*('Bench Data'!D2:D78="RFD"))</f>
        <v>0</v>
      </c>
      <c r="D8" s="38" t="n">
        <f aca="false">C8-B8</f>
        <v>-17</v>
      </c>
      <c r="E8" s="38" t="n">
        <f aca="false">SUMPRODUCT(ISNUMBER(SEARCH("Python",'BD Data'!C2:C165))*('BD Data'!N2:N165="Onboarded"))</f>
        <v>1</v>
      </c>
      <c r="F8" s="38" t="n">
        <f aca="false">B8</f>
        <v>17</v>
      </c>
      <c r="G8" s="56" t="n">
        <f aca="false">IFERROR(E8/F8,0)</f>
        <v>0.0588235294117647</v>
      </c>
      <c r="H8" s="60" t="s">
        <v>216</v>
      </c>
    </row>
    <row r="9" customFormat="false" ht="26.25" hidden="false" customHeight="true" outlineLevel="0" collapsed="false">
      <c r="A9" s="31" t="s">
        <v>145</v>
      </c>
      <c r="B9" s="38" t="n">
        <f aca="false">SUMPRODUCT(ISNUMBER(SEARCH("Node",'BD Data'!C2:C165))*1)</f>
        <v>12</v>
      </c>
      <c r="C9" s="38" t="n">
        <f aca="false">SUMPRODUCT(ISNUMBER(SEARCH("Node",'Bench Data'!L2:L78))*('Bench Data'!D2:D78="RFD"))</f>
        <v>0</v>
      </c>
      <c r="D9" s="38" t="n">
        <f aca="false">C9-B9</f>
        <v>-12</v>
      </c>
      <c r="E9" s="38" t="n">
        <f aca="false">SUMPRODUCT(ISNUMBER(SEARCH("Node",'BD Data'!C2:C165))*('BD Data'!N2:N165="Onboarded"))</f>
        <v>0</v>
      </c>
      <c r="F9" s="38" t="n">
        <f aca="false">B9</f>
        <v>12</v>
      </c>
      <c r="G9" s="56" t="n">
        <f aca="false">IFERROR(E9/F9,0)</f>
        <v>0</v>
      </c>
      <c r="H9" s="60" t="s">
        <v>216</v>
      </c>
    </row>
    <row r="10" customFormat="false" ht="26.25" hidden="false" customHeight="true" outlineLevel="0" collapsed="false">
      <c r="A10" s="31" t="s">
        <v>139</v>
      </c>
      <c r="B10" s="38" t="n">
        <f aca="false">SUMPRODUCT(ISNUMBER(SEARCH("MERN",'BD Data'!C2:C165))*1)</f>
        <v>6</v>
      </c>
      <c r="C10" s="38" t="n">
        <f aca="false">SUMPRODUCT(ISNUMBER(SEARCH("MERN",'Bench Data'!L2:L78))*('Bench Data'!D2:D78="RFD"))</f>
        <v>0</v>
      </c>
      <c r="D10" s="38" t="n">
        <f aca="false">C10-B10</f>
        <v>-6</v>
      </c>
      <c r="E10" s="38" t="n">
        <f aca="false">SUMPRODUCT(ISNUMBER(SEARCH("MERN",'BD Data'!C2:C165))*('BD Data'!N2:N165="Onboarded"))</f>
        <v>0</v>
      </c>
      <c r="F10" s="38" t="n">
        <f aca="false">B10</f>
        <v>6</v>
      </c>
      <c r="G10" s="56" t="n">
        <f aca="false">IFERROR(E10/F10,0)</f>
        <v>0</v>
      </c>
      <c r="H10" s="60" t="s">
        <v>216</v>
      </c>
    </row>
    <row r="11" customFormat="false" ht="15" hidden="false" customHeight="true" outlineLevel="0" collapsed="false">
      <c r="A11" s="31" t="s">
        <v>217</v>
      </c>
      <c r="B11" s="38" t="n">
        <f aca="false">SUMPRODUCT(ISNUMBER(SEARCH("GoLang",'BD Data'!C2:C165))*1)</f>
        <v>8</v>
      </c>
      <c r="C11" s="38" t="n">
        <f aca="false">SUMPRODUCT(ISNUMBER(SEARCH("GoLang",'Bench Data'!L2:L78))*('Bench Data'!D2:D78="RFD"))</f>
        <v>0</v>
      </c>
      <c r="D11" s="38" t="n">
        <f aca="false">C11-B11</f>
        <v>-8</v>
      </c>
      <c r="E11" s="38" t="n">
        <f aca="false">SUMPRODUCT(ISNUMBER(SEARCH("GoLang",'BD Data'!C2:C165))*('BD Data'!N2:N165="Onboarded"))</f>
        <v>0</v>
      </c>
      <c r="F11" s="38" t="n">
        <f aca="false">B11</f>
        <v>8</v>
      </c>
      <c r="G11" s="56" t="n">
        <f aca="false">IFERROR(E11/F11,0)</f>
        <v>0</v>
      </c>
      <c r="H11" s="60" t="s">
        <v>218</v>
      </c>
    </row>
    <row r="12" customFormat="false" ht="15" hidden="false" customHeight="true" outlineLevel="0" collapsed="false">
      <c r="A12" s="31" t="s">
        <v>173</v>
      </c>
      <c r="B12" s="38" t="n">
        <f aca="false">SUMPRODUCT(ISNUMBER(SEARCH(".Net",'BD Data'!C2:C165))*1)</f>
        <v>8</v>
      </c>
      <c r="C12" s="38" t="n">
        <f aca="false">SUMPRODUCT(ISNUMBER(SEARCH(".Net",'Bench Data'!L2:L78))*('Bench Data'!D2:D78="RFD"))</f>
        <v>0</v>
      </c>
      <c r="D12" s="38" t="n">
        <f aca="false">C12-B12</f>
        <v>-8</v>
      </c>
      <c r="E12" s="38" t="n">
        <f aca="false">SUMPRODUCT(ISNUMBER(SEARCH(".Net",'BD Data'!C2:C165))*('BD Data'!N2:N165="Onboarded"))</f>
        <v>0</v>
      </c>
      <c r="F12" s="38" t="n">
        <f aca="false">B12</f>
        <v>8</v>
      </c>
      <c r="G12" s="56" t="n">
        <f aca="false">IFERROR(E12/F12,0)</f>
        <v>0</v>
      </c>
      <c r="H12" s="60" t="s">
        <v>218</v>
      </c>
    </row>
    <row r="13" customFormat="false" ht="15" hidden="false" customHeight="true" outlineLevel="0" collapsed="false">
      <c r="A13" s="31" t="s">
        <v>108</v>
      </c>
      <c r="B13" s="38" t="n">
        <f aca="false">SUMPRODUCT(ISNUMBER(SEARCH("Salesforce",'BD Data'!C2:C165))*1)</f>
        <v>4</v>
      </c>
      <c r="C13" s="38" t="n">
        <f aca="false">SUMPRODUCT(ISNUMBER(SEARCH("Salesforce",'Bench Data'!L2:L78))*('Bench Data'!D2:D78="RFD"))</f>
        <v>0</v>
      </c>
      <c r="D13" s="38" t="n">
        <f aca="false">C13-B13</f>
        <v>-4</v>
      </c>
      <c r="E13" s="38" t="n">
        <f aca="false">SUMPRODUCT(ISNUMBER(SEARCH("Salesforce",'BD Data'!C2:C165))*('BD Data'!N2:N165="Onboarded"))</f>
        <v>0</v>
      </c>
      <c r="F13" s="38" t="n">
        <f aca="false">B13</f>
        <v>4</v>
      </c>
      <c r="G13" s="56" t="n">
        <f aca="false">IFERROR(E13/F13,0)</f>
        <v>0</v>
      </c>
      <c r="H13" s="60" t="s">
        <v>218</v>
      </c>
    </row>
    <row r="14" customFormat="false" ht="15" hidden="false" customHeight="true" outlineLevel="0" collapsed="false">
      <c r="A14" s="31" t="s">
        <v>219</v>
      </c>
      <c r="B14" s="38" t="n">
        <f aca="false">SUMPRODUCT(ISNUMBER(SEARCH("Android",'BD Data'!C2:C165))*1)</f>
        <v>4</v>
      </c>
      <c r="C14" s="38" t="n">
        <f aca="false">SUMPRODUCT(ISNUMBER(SEARCH("Android",'Bench Data'!L2:L78))*('Bench Data'!D2:D78="RFD"))</f>
        <v>0</v>
      </c>
      <c r="D14" s="38" t="n">
        <f aca="false">C14-B14</f>
        <v>-4</v>
      </c>
      <c r="E14" s="38" t="n">
        <f aca="false">SUMPRODUCT(ISNUMBER(SEARCH("Android",'BD Data'!C2:C165))*('BD Data'!N2:N165="Onboarded"))</f>
        <v>0</v>
      </c>
      <c r="F14" s="38" t="n">
        <f aca="false">B14</f>
        <v>4</v>
      </c>
      <c r="G14" s="56" t="n">
        <f aca="false">IFERROR(E14/F14,0)</f>
        <v>0</v>
      </c>
      <c r="H14" s="60" t="s">
        <v>218</v>
      </c>
    </row>
    <row r="15" customFormat="false" ht="15" hidden="false" customHeight="true" outlineLevel="0" collapsed="false">
      <c r="A15" s="31" t="s">
        <v>124</v>
      </c>
      <c r="B15" s="38" t="n">
        <f aca="false">SUMPRODUCT(ISNUMBER(SEARCH("SRE",'BD Data'!C2:C165))*1)</f>
        <v>2</v>
      </c>
      <c r="C15" s="38" t="n">
        <f aca="false">SUMPRODUCT(ISNUMBER(SEARCH("SRE",'Bench Data'!L2:L78))*('Bench Data'!D2:D78="RFD"))</f>
        <v>0</v>
      </c>
      <c r="D15" s="38" t="n">
        <f aca="false">C15-B15</f>
        <v>-2</v>
      </c>
      <c r="E15" s="38" t="n">
        <f aca="false">SUMPRODUCT(ISNUMBER(SEARCH("SRE",'BD Data'!C2:C165))*('BD Data'!N2:N165="Onboarded"))</f>
        <v>0</v>
      </c>
      <c r="F15" s="38" t="n">
        <f aca="false">B15</f>
        <v>2</v>
      </c>
      <c r="G15" s="56" t="n">
        <f aca="false">IFERROR(E15/F15,0)</f>
        <v>0</v>
      </c>
      <c r="H15" s="60" t="s">
        <v>218</v>
      </c>
    </row>
    <row r="16" customFormat="false" ht="15" hidden="false" customHeight="true" outlineLevel="0" collapsed="false">
      <c r="A16" s="31" t="s">
        <v>161</v>
      </c>
      <c r="B16" s="38" t="n">
        <f aca="false">SUMPRODUCT(ISNUMBER(SEARCH("AI/ML",'BD Data'!C2:C165))*1)</f>
        <v>2</v>
      </c>
      <c r="C16" s="38" t="n">
        <f aca="false">SUMPRODUCT(ISNUMBER(SEARCH("AI/ML",'Bench Data'!L2:L78))*('Bench Data'!D2:D78="RFD"))</f>
        <v>0</v>
      </c>
      <c r="D16" s="38" t="n">
        <f aca="false">C16-B16</f>
        <v>-2</v>
      </c>
      <c r="E16" s="38" t="n">
        <f aca="false">SUMPRODUCT(ISNUMBER(SEARCH("AI/ML",'BD Data'!C2:C165))*('BD Data'!N2:N165="Onboarded"))</f>
        <v>0</v>
      </c>
      <c r="F16" s="38" t="n">
        <f aca="false">B16</f>
        <v>2</v>
      </c>
      <c r="G16" s="56" t="n">
        <f aca="false">IFERROR(E16/F16,0)</f>
        <v>0</v>
      </c>
      <c r="H16" s="60" t="s">
        <v>220</v>
      </c>
    </row>
    <row r="17" customFormat="false" ht="15" hidden="false" customHeight="true" outlineLevel="0" collapsed="false">
      <c r="A17" s="31" t="s">
        <v>221</v>
      </c>
      <c r="B17" s="38" t="n">
        <f aca="false">SUMPRODUCT(ISNUMBER(SEARCH("Data",'BD Data'!C2:C165))*1)</f>
        <v>8</v>
      </c>
      <c r="C17" s="38" t="n">
        <f aca="false">SUMPRODUCT(ISNUMBER(SEARCH("Data",'Bench Data'!L2:L78))*('Bench Data'!D2:D78="RFD"))</f>
        <v>0</v>
      </c>
      <c r="D17" s="38" t="n">
        <f aca="false">C17-B17</f>
        <v>-8</v>
      </c>
      <c r="E17" s="38" t="n">
        <f aca="false">SUMPRODUCT(ISNUMBER(SEARCH("Data",'BD Data'!C2:C165))*('BD Data'!N2:N165="Onboarded"))</f>
        <v>0</v>
      </c>
      <c r="F17" s="38" t="n">
        <f aca="false">B17</f>
        <v>8</v>
      </c>
      <c r="G17" s="56" t="n">
        <f aca="false">IFERROR(E17/F17,0)</f>
        <v>0</v>
      </c>
      <c r="H17" s="60" t="s">
        <v>220</v>
      </c>
    </row>
  </sheetData>
  <mergeCells count="2">
    <mergeCell ref="A1:H1"/>
    <mergeCell ref="A2:H2"/>
  </mergeCells>
  <conditionalFormatting sqref="D5:D17">
    <cfRule type="colorScale" priority="2">
      <colorScale>
        <cfvo type="num" val="-20"/>
        <cfvo type="num" val="0"/>
        <cfvo type="num" val="20"/>
        <color rgb="FFF8696B"/>
        <color rgb="FFFFEB84"/>
        <color rgb="FF63BE7B"/>
      </colorScale>
    </cfRule>
  </conditionalFormatting>
  <conditionalFormatting sqref="H5:H17">
    <cfRule type="cellIs" priority="3" operator="equal" aboveAverage="0" equalAverage="0" bottom="0" percent="0" rank="0" text="" dxfId="1">
      <formula>"HIRE — high demand, no bench"</formula>
    </cfRule>
    <cfRule type="cellIs" priority="4" operator="equal" aboveAverage="0" equalAverage="0" bottom="0" percent="0" rank="0" text="" dxfId="0">
      <formula>"Aligned"</formula>
    </cfRule>
    <cfRule type="cellIs" priority="5" operator="equal" aboveAverage="0" equalAverage="0" bottom="0" percent="0" rank="0" text="" dxfId="5">
      <formula>"Watch"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6"/>
  </cols>
  <sheetData>
    <row r="1" customFormat="false" ht="21.75" hidden="false" customHeight="true" outlineLevel="0" collapsed="false">
      <c r="A1" s="2" t="s">
        <v>222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223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5" t="s">
        <v>224</v>
      </c>
      <c r="B4" s="5"/>
      <c r="C4" s="5"/>
      <c r="D4" s="5"/>
      <c r="E4" s="5"/>
      <c r="F4" s="5"/>
      <c r="G4" s="5"/>
    </row>
    <row r="5" customFormat="false" ht="31.5" hidden="false" customHeight="true" outlineLevel="0" collapsed="false">
      <c r="A5" s="36" t="s">
        <v>225</v>
      </c>
      <c r="B5" s="36" t="s">
        <v>10</v>
      </c>
      <c r="C5" s="36" t="s">
        <v>226</v>
      </c>
      <c r="D5" s="36" t="s">
        <v>227</v>
      </c>
      <c r="E5" s="36" t="s">
        <v>228</v>
      </c>
      <c r="F5" s="36" t="s">
        <v>229</v>
      </c>
      <c r="G5" s="36" t="s">
        <v>11</v>
      </c>
    </row>
    <row r="6" customFormat="false" ht="15" hidden="false" customHeight="true" outlineLevel="0" collapsed="false">
      <c r="A6" s="31" t="s">
        <v>230</v>
      </c>
      <c r="B6" s="38" t="n">
        <f aca="false">COUNTIF('Bench Intv Data'!E2:E135,A6)</f>
        <v>51</v>
      </c>
      <c r="C6" s="38" t="n">
        <f aca="false">COUNTIFS('Bench Intv Data'!E2:E135,A6,'Bench Intv Data'!G2:G135,"Done")</f>
        <v>48</v>
      </c>
      <c r="D6" s="38" t="n">
        <f aca="false">COUNTIFS('Bench Intv Data'!E2:E135,A6,'Bench Intv Data'!G2:G135,"Rescheduled")</f>
        <v>3</v>
      </c>
      <c r="E6" s="38" t="n">
        <f aca="false">SUMPRODUCT(('Bench Intv Data'!E2:E135=A6)*ISNUMBER(SEARCH("Selected",'Bench Intv Data'!I2:I135)))</f>
        <v>27</v>
      </c>
      <c r="F6" s="38" t="n">
        <f aca="false">SUMPRODUCT(('Bench Intv Data'!E2:E135=A6)*ISNUMBER(SEARCH("Rejected",'Bench Intv Data'!I2:I135)))</f>
        <v>14</v>
      </c>
      <c r="G6" s="56" t="n">
        <f aca="false">IFERROR(E6/(E6+F6),0)</f>
        <v>0.658536585365854</v>
      </c>
    </row>
    <row r="7" customFormat="false" ht="15" hidden="false" customHeight="true" outlineLevel="0" collapsed="false">
      <c r="A7" s="31" t="s">
        <v>231</v>
      </c>
      <c r="B7" s="38" t="n">
        <f aca="false">COUNTIF('Bench Intv Data'!E2:E135,A7)</f>
        <v>32</v>
      </c>
      <c r="C7" s="38" t="n">
        <f aca="false">COUNTIFS('Bench Intv Data'!E2:E135,A7,'Bench Intv Data'!G2:G135,"Done")</f>
        <v>32</v>
      </c>
      <c r="D7" s="38" t="n">
        <f aca="false">COUNTIFS('Bench Intv Data'!E2:E135,A7,'Bench Intv Data'!G2:G135,"Rescheduled")</f>
        <v>0</v>
      </c>
      <c r="E7" s="38" t="n">
        <f aca="false">SUMPRODUCT(('Bench Intv Data'!E2:E135=A7)*ISNUMBER(SEARCH("Selected",'Bench Intv Data'!I2:I135)))</f>
        <v>19</v>
      </c>
      <c r="F7" s="38" t="n">
        <f aca="false">SUMPRODUCT(('Bench Intv Data'!E2:E135=A7)*ISNUMBER(SEARCH("Rejected",'Bench Intv Data'!I2:I135)))</f>
        <v>4</v>
      </c>
      <c r="G7" s="56" t="n">
        <f aca="false">IFERROR(E7/(E7+F7),0)</f>
        <v>0.826086956521739</v>
      </c>
    </row>
    <row r="8" customFormat="false" ht="15" hidden="false" customHeight="true" outlineLevel="0" collapsed="false">
      <c r="A8" s="31" t="s">
        <v>232</v>
      </c>
      <c r="B8" s="38" t="n">
        <f aca="false">COUNTIF('Bench Intv Data'!E2:E135,A8)</f>
        <v>23</v>
      </c>
      <c r="C8" s="38" t="n">
        <f aca="false">COUNTIFS('Bench Intv Data'!E2:E135,A8,'Bench Intv Data'!G2:G135,"Done")</f>
        <v>19</v>
      </c>
      <c r="D8" s="38" t="n">
        <f aca="false">COUNTIFS('Bench Intv Data'!E2:E135,A8,'Bench Intv Data'!G2:G135,"Rescheduled")</f>
        <v>4</v>
      </c>
      <c r="E8" s="38" t="n">
        <f aca="false">SUMPRODUCT(('Bench Intv Data'!E2:E135=A8)*ISNUMBER(SEARCH("Selected",'Bench Intv Data'!I2:I135)))</f>
        <v>9</v>
      </c>
      <c r="F8" s="38" t="n">
        <f aca="false">SUMPRODUCT(('Bench Intv Data'!E2:E135=A8)*ISNUMBER(SEARCH("Rejected",'Bench Intv Data'!I2:I135)))</f>
        <v>8</v>
      </c>
      <c r="G8" s="56" t="n">
        <f aca="false">IFERROR(E8/(E8+F8),0)</f>
        <v>0.529411764705882</v>
      </c>
    </row>
    <row r="9" customFormat="false" ht="15" hidden="false" customHeight="true" outlineLevel="0" collapsed="false">
      <c r="A9" s="31" t="s">
        <v>233</v>
      </c>
      <c r="B9" s="38" t="n">
        <f aca="false">COUNTIF('Bench Intv Data'!E2:E135,A9)</f>
        <v>18</v>
      </c>
      <c r="C9" s="38" t="n">
        <f aca="false">COUNTIFS('Bench Intv Data'!E2:E135,A9,'Bench Intv Data'!G2:G135,"Done")</f>
        <v>17</v>
      </c>
      <c r="D9" s="38" t="n">
        <f aca="false">COUNTIFS('Bench Intv Data'!E2:E135,A9,'Bench Intv Data'!G2:G135,"Rescheduled")</f>
        <v>1</v>
      </c>
      <c r="E9" s="38" t="n">
        <f aca="false">SUMPRODUCT(('Bench Intv Data'!E2:E135=A9)*ISNUMBER(SEARCH("Selected",'Bench Intv Data'!I2:I135)))</f>
        <v>7</v>
      </c>
      <c r="F9" s="38" t="n">
        <f aca="false">SUMPRODUCT(('Bench Intv Data'!E2:E135=A9)*ISNUMBER(SEARCH("Rejected",'Bench Intv Data'!I2:I135)))</f>
        <v>5</v>
      </c>
      <c r="G9" s="56" t="n">
        <f aca="false">IFERROR(E9/(E9+F9),0)</f>
        <v>0.583333333333333</v>
      </c>
    </row>
    <row r="10" customFormat="false" ht="15" hidden="false" customHeight="true" outlineLevel="0" collapsed="false">
      <c r="A10" s="31" t="s">
        <v>234</v>
      </c>
      <c r="B10" s="38" t="n">
        <f aca="false">COUNTIF('Bench Intv Data'!E2:E135,A10)</f>
        <v>10</v>
      </c>
      <c r="C10" s="38" t="n">
        <f aca="false">COUNTIFS('Bench Intv Data'!E2:E135,A10,'Bench Intv Data'!G2:G135,"Done")</f>
        <v>6</v>
      </c>
      <c r="D10" s="38" t="n">
        <f aca="false">COUNTIFS('Bench Intv Data'!E2:E135,A10,'Bench Intv Data'!G2:G135,"Rescheduled")</f>
        <v>4</v>
      </c>
      <c r="E10" s="38" t="n">
        <f aca="false">SUMPRODUCT(('Bench Intv Data'!E2:E135=A10)*ISNUMBER(SEARCH("Selected",'Bench Intv Data'!I2:I135)))</f>
        <v>2</v>
      </c>
      <c r="F10" s="38" t="n">
        <f aca="false">SUMPRODUCT(('Bench Intv Data'!E2:E135=A10)*ISNUMBER(SEARCH("Rejected",'Bench Intv Data'!I2:I135)))</f>
        <v>2</v>
      </c>
      <c r="G10" s="56" t="n">
        <f aca="false">IFERROR(E10/(E10+F10),0)</f>
        <v>0.5</v>
      </c>
    </row>
    <row r="13" customFormat="false" ht="15" hidden="false" customHeight="true" outlineLevel="0" collapsed="false">
      <c r="A13" s="5" t="s">
        <v>235</v>
      </c>
      <c r="B13" s="5"/>
      <c r="C13" s="5"/>
      <c r="D13" s="5"/>
      <c r="E13" s="5"/>
      <c r="F13" s="5"/>
      <c r="G13" s="5"/>
    </row>
    <row r="14" customFormat="false" ht="15" hidden="false" customHeight="true" outlineLevel="0" collapsed="false">
      <c r="A14" s="36" t="s">
        <v>236</v>
      </c>
      <c r="B14" s="36" t="s">
        <v>10</v>
      </c>
      <c r="C14" s="36" t="s">
        <v>226</v>
      </c>
      <c r="D14" s="36" t="s">
        <v>227</v>
      </c>
      <c r="E14" s="36" t="s">
        <v>228</v>
      </c>
      <c r="F14" s="36" t="s">
        <v>229</v>
      </c>
      <c r="G14" s="36" t="s">
        <v>11</v>
      </c>
    </row>
    <row r="15" customFormat="false" ht="15" hidden="false" customHeight="true" outlineLevel="0" collapsed="false">
      <c r="A15" s="31" t="s">
        <v>237</v>
      </c>
      <c r="B15" s="38" t="n">
        <f aca="false">COUNTIF('Market Intv Data'!F2:F36,A15)</f>
        <v>15</v>
      </c>
      <c r="C15" s="61" t="s">
        <v>180</v>
      </c>
      <c r="D15" s="61" t="s">
        <v>180</v>
      </c>
      <c r="E15" s="38" t="n">
        <f aca="false">SUMPRODUCT(('Market Intv Data'!F2:F36=A15)*ISNUMBER(SEARCH("Select",'Market Intv Data'!G2:G36)))</f>
        <v>4</v>
      </c>
      <c r="F15" s="38" t="n">
        <f aca="false">SUMPRODUCT(('Market Intv Data'!F2:F36=A15)*ISNUMBER(SEARCH("Reject",'Market Intv Data'!G2:G36)))</f>
        <v>6</v>
      </c>
      <c r="G15" s="56" t="n">
        <f aca="false">IFERROR(E15/(E15+F15),0)</f>
        <v>0.4</v>
      </c>
    </row>
    <row r="16" customFormat="false" ht="15" hidden="false" customHeight="true" outlineLevel="0" collapsed="false">
      <c r="A16" s="31" t="s">
        <v>238</v>
      </c>
      <c r="B16" s="38" t="n">
        <f aca="false">COUNTIF('Market Intv Data'!F2:F36,A16)</f>
        <v>11</v>
      </c>
      <c r="C16" s="61" t="s">
        <v>180</v>
      </c>
      <c r="D16" s="61" t="s">
        <v>180</v>
      </c>
      <c r="E16" s="38" t="n">
        <f aca="false">SUMPRODUCT(('Market Intv Data'!F2:F36=A16)*ISNUMBER(SEARCH("Select",'Market Intv Data'!G2:G36)))</f>
        <v>0</v>
      </c>
      <c r="F16" s="38" t="n">
        <f aca="false">SUMPRODUCT(('Market Intv Data'!F2:F36=A16)*ISNUMBER(SEARCH("Reject",'Market Intv Data'!G2:G36)))</f>
        <v>7</v>
      </c>
      <c r="G16" s="56" t="n">
        <f aca="false">IFERROR(E16/(E16+F16),0)</f>
        <v>0</v>
      </c>
    </row>
    <row r="17" customFormat="false" ht="15" hidden="false" customHeight="true" outlineLevel="0" collapsed="false">
      <c r="A17" s="31" t="s">
        <v>239</v>
      </c>
      <c r="B17" s="38" t="n">
        <f aca="false">COUNTIF('Market Intv Data'!F2:F36,A17)</f>
        <v>6</v>
      </c>
      <c r="C17" s="61" t="s">
        <v>180</v>
      </c>
      <c r="D17" s="61" t="s">
        <v>180</v>
      </c>
      <c r="E17" s="38" t="n">
        <f aca="false">SUMPRODUCT(('Market Intv Data'!F2:F36=A17)*ISNUMBER(SEARCH("Select",'Market Intv Data'!G2:G36)))</f>
        <v>1</v>
      </c>
      <c r="F17" s="38" t="n">
        <f aca="false">SUMPRODUCT(('Market Intv Data'!F2:F36=A17)*ISNUMBER(SEARCH("Reject",'Market Intv Data'!G2:G36)))</f>
        <v>3</v>
      </c>
      <c r="G17" s="56" t="n">
        <f aca="false">IFERROR(E17/(E17+F17),0)</f>
        <v>0.25</v>
      </c>
    </row>
    <row r="18" customFormat="false" ht="15" hidden="false" customHeight="true" outlineLevel="0" collapsed="false">
      <c r="A18" s="31" t="s">
        <v>240</v>
      </c>
      <c r="B18" s="38" t="n">
        <f aca="false">COUNTIF('Market Intv Data'!F2:F36,A18)</f>
        <v>3</v>
      </c>
      <c r="C18" s="61" t="s">
        <v>180</v>
      </c>
      <c r="D18" s="61" t="s">
        <v>180</v>
      </c>
      <c r="E18" s="38" t="n">
        <f aca="false">SUMPRODUCT(('Market Intv Data'!F2:F36=A18)*ISNUMBER(SEARCH("Select",'Market Intv Data'!G2:G36)))</f>
        <v>1</v>
      </c>
      <c r="F18" s="38" t="n">
        <f aca="false">SUMPRODUCT(('Market Intv Data'!F2:F36=A18)*ISNUMBER(SEARCH("Reject",'Market Intv Data'!G2:G36)))</f>
        <v>2</v>
      </c>
      <c r="G18" s="56" t="n">
        <f aca="false">IFERROR(E18/(E18+F18),0)</f>
        <v>0.333333333333333</v>
      </c>
    </row>
  </sheetData>
  <mergeCells count="4">
    <mergeCell ref="A1:G1"/>
    <mergeCell ref="A2:G2"/>
    <mergeCell ref="A4:G4"/>
    <mergeCell ref="A13:G13"/>
  </mergeCells>
  <conditionalFormatting sqref="G6:G10">
    <cfRule type="colorScale" priority="2">
      <colorScale>
        <cfvo type="num" val="0.4"/>
        <cfvo type="num" val="0.6"/>
        <cfvo type="num" val="0.8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5" min="3" style="1" width="16"/>
    <col collapsed="false" customWidth="true" hidden="false" outlineLevel="0" max="6" min="6" style="1" width="14"/>
  </cols>
  <sheetData>
    <row r="1" customFormat="false" ht="21.75" hidden="false" customHeight="true" outlineLevel="0" collapsed="false">
      <c r="A1" s="2" t="s">
        <v>241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242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36" t="s">
        <v>243</v>
      </c>
      <c r="B4" s="36" t="s">
        <v>244</v>
      </c>
      <c r="C4" s="36" t="s">
        <v>245</v>
      </c>
      <c r="D4" s="36" t="s">
        <v>246</v>
      </c>
      <c r="E4" s="36" t="s">
        <v>247</v>
      </c>
      <c r="F4" s="36" t="s">
        <v>248</v>
      </c>
    </row>
    <row r="5" customFormat="false" ht="15" hidden="false" customHeight="true" outlineLevel="0" collapsed="false">
      <c r="A5" s="31" t="s">
        <v>249</v>
      </c>
      <c r="B5" s="38" t="n">
        <f aca="false">COUNTIF('Bench Intv Data'!C2:C135,A5)</f>
        <v>10</v>
      </c>
      <c r="C5" s="38" t="n">
        <f aca="false">SUMPRODUCT(('Bench Intv Data'!C2:C135=A5)*ISNUMBER(SEARCH("Selected",'Bench Intv Data'!I2:I135)))</f>
        <v>5</v>
      </c>
      <c r="D5" s="38" t="n">
        <f aca="false">SUMPRODUCT(('Bench Intv Data'!C2:C135=A5)*ISNUMBER(SEARCH("Rejected",'Bench Intv Data'!I2:I135)))</f>
        <v>1</v>
      </c>
      <c r="E5" s="62" t="str">
        <f aca="false">IFERROR(INDEX('Bench Data'!D2:D78,MATCH(A5,'Bench Data'!F2:F78,0)),"Not in Bench")</f>
        <v>WFD</v>
      </c>
      <c r="F5" s="62" t="str">
        <f aca="false">IFERROR(INDEX('Bench Data'!E2:E78,MATCH(A5,'Bench Data'!F2:F78,0)),"-")</f>
        <v>Asset</v>
      </c>
    </row>
    <row r="6" customFormat="false" ht="15" hidden="false" customHeight="true" outlineLevel="0" collapsed="false">
      <c r="A6" s="31" t="s">
        <v>250</v>
      </c>
      <c r="B6" s="38" t="n">
        <f aca="false">COUNTIF('Bench Intv Data'!C2:C135,A6)</f>
        <v>7</v>
      </c>
      <c r="C6" s="38" t="n">
        <f aca="false">SUMPRODUCT(('Bench Intv Data'!C2:C135=A6)*ISNUMBER(SEARCH("Selected",'Bench Intv Data'!I2:I135)))</f>
        <v>3</v>
      </c>
      <c r="D6" s="38" t="n">
        <f aca="false">SUMPRODUCT(('Bench Intv Data'!C2:C135=A6)*ISNUMBER(SEARCH("Rejected",'Bench Intv Data'!I2:I135)))</f>
        <v>0</v>
      </c>
      <c r="E6" s="62" t="str">
        <f aca="false">IFERROR(INDEX('Bench Data'!D2:D78,MATCH(A6,'Bench Data'!F2:F78,0)),"Not in Bench")</f>
        <v>RFD</v>
      </c>
      <c r="F6" s="62" t="str">
        <f aca="false">IFERROR(INDEX('Bench Data'!E2:E78,MATCH(A6,'Bench Data'!F2:F78,0)),"-")</f>
        <v>Asset</v>
      </c>
    </row>
    <row r="7" customFormat="false" ht="15" hidden="false" customHeight="true" outlineLevel="0" collapsed="false">
      <c r="A7" s="31" t="s">
        <v>251</v>
      </c>
      <c r="B7" s="38" t="n">
        <f aca="false">COUNTIF('Bench Intv Data'!C2:C135,A7)</f>
        <v>7</v>
      </c>
      <c r="C7" s="38" t="n">
        <f aca="false">SUMPRODUCT(('Bench Intv Data'!C2:C135=A7)*ISNUMBER(SEARCH("Selected",'Bench Intv Data'!I2:I135)))</f>
        <v>5</v>
      </c>
      <c r="D7" s="38" t="n">
        <f aca="false">SUMPRODUCT(('Bench Intv Data'!C2:C135=A7)*ISNUMBER(SEARCH("Rejected",'Bench Intv Data'!I2:I135)))</f>
        <v>1</v>
      </c>
      <c r="E7" s="62" t="str">
        <f aca="false">IFERROR(INDEX('Bench Data'!D2:D78,MATCH(A7,'Bench Data'!F2:F78,0)),"Not in Bench")</f>
        <v>RFD</v>
      </c>
      <c r="F7" s="62" t="str">
        <f aca="false">IFERROR(INDEX('Bench Data'!E2:E78,MATCH(A7,'Bench Data'!F2:F78,0)),"-")</f>
        <v>Asset</v>
      </c>
    </row>
    <row r="8" customFormat="false" ht="15" hidden="false" customHeight="true" outlineLevel="0" collapsed="false">
      <c r="A8" s="31" t="s">
        <v>252</v>
      </c>
      <c r="B8" s="38" t="n">
        <f aca="false">COUNTIF('Bench Intv Data'!C2:C135,A8)</f>
        <v>6</v>
      </c>
      <c r="C8" s="38" t="n">
        <f aca="false">SUMPRODUCT(('Bench Intv Data'!C2:C135=A8)*ISNUMBER(SEARCH("Selected",'Bench Intv Data'!I2:I135)))</f>
        <v>3</v>
      </c>
      <c r="D8" s="38" t="n">
        <f aca="false">SUMPRODUCT(('Bench Intv Data'!C2:C135=A8)*ISNUMBER(SEARCH("Rejected",'Bench Intv Data'!I2:I135)))</f>
        <v>2</v>
      </c>
      <c r="E8" s="62" t="str">
        <f aca="false">IFERROR(INDEX('Bench Data'!D2:D78,MATCH(A8,'Bench Data'!F2:F78,0)),"Not in Bench")</f>
        <v>RFD</v>
      </c>
      <c r="F8" s="62" t="str">
        <f aca="false">IFERROR(INDEX('Bench Data'!E2:E78,MATCH(A8,'Bench Data'!F2:F78,0)),"-")</f>
        <v>Asset</v>
      </c>
    </row>
    <row r="9" customFormat="false" ht="15" hidden="false" customHeight="true" outlineLevel="0" collapsed="false">
      <c r="A9" s="31" t="s">
        <v>253</v>
      </c>
      <c r="B9" s="38" t="n">
        <f aca="false">COUNTIF('Bench Intv Data'!C2:C135,A9)</f>
        <v>6</v>
      </c>
      <c r="C9" s="38" t="n">
        <f aca="false">SUMPRODUCT(('Bench Intv Data'!C2:C135=A9)*ISNUMBER(SEARCH("Selected",'Bench Intv Data'!I2:I135)))</f>
        <v>5</v>
      </c>
      <c r="D9" s="38" t="n">
        <f aca="false">SUMPRODUCT(('Bench Intv Data'!C2:C135=A9)*ISNUMBER(SEARCH("Rejected",'Bench Intv Data'!I2:I135)))</f>
        <v>1</v>
      </c>
      <c r="E9" s="62" t="str">
        <f aca="false">IFERROR(INDEX('Bench Data'!D2:D78,MATCH(A9,'Bench Data'!F2:F78,0)),"Not in Bench")</f>
        <v>Not in Bench</v>
      </c>
      <c r="F9" s="62" t="str">
        <f aca="false">IFERROR(INDEX('Bench Data'!E2:E78,MATCH(A9,'Bench Data'!F2:F78,0)),"-")</f>
        <v>-</v>
      </c>
    </row>
    <row r="10" customFormat="false" ht="15" hidden="false" customHeight="true" outlineLevel="0" collapsed="false">
      <c r="A10" s="31" t="s">
        <v>254</v>
      </c>
      <c r="B10" s="38" t="n">
        <f aca="false">COUNTIF('Bench Intv Data'!C2:C135,A10)</f>
        <v>5</v>
      </c>
      <c r="C10" s="38" t="n">
        <f aca="false">SUMPRODUCT(('Bench Intv Data'!C2:C135=A10)*ISNUMBER(SEARCH("Selected",'Bench Intv Data'!I2:I135)))</f>
        <v>3</v>
      </c>
      <c r="D10" s="38" t="n">
        <f aca="false">SUMPRODUCT(('Bench Intv Data'!C2:C135=A10)*ISNUMBER(SEARCH("Rejected",'Bench Intv Data'!I2:I135)))</f>
        <v>1</v>
      </c>
      <c r="E10" s="62" t="str">
        <f aca="false">IFERROR(INDEX('Bench Data'!D2:D78,MATCH(A10,'Bench Data'!F2:F78,0)),"Not in Bench")</f>
        <v>WFD</v>
      </c>
      <c r="F10" s="62" t="str">
        <f aca="false">IFERROR(INDEX('Bench Data'!E2:E78,MATCH(A10,'Bench Data'!F2:F78,0)),"-")</f>
        <v>Asset</v>
      </c>
    </row>
    <row r="11" customFormat="false" ht="15" hidden="false" customHeight="true" outlineLevel="0" collapsed="false">
      <c r="A11" s="31" t="s">
        <v>255</v>
      </c>
      <c r="B11" s="38" t="n">
        <f aca="false">COUNTIF('Bench Intv Data'!C2:C135,A11)</f>
        <v>5</v>
      </c>
      <c r="C11" s="38" t="n">
        <f aca="false">SUMPRODUCT(('Bench Intv Data'!C2:C135=A11)*ISNUMBER(SEARCH("Selected",'Bench Intv Data'!I2:I135)))</f>
        <v>2</v>
      </c>
      <c r="D11" s="38" t="n">
        <f aca="false">SUMPRODUCT(('Bench Intv Data'!C2:C135=A11)*ISNUMBER(SEARCH("Rejected",'Bench Intv Data'!I2:I135)))</f>
        <v>1</v>
      </c>
      <c r="E11" s="62" t="str">
        <f aca="false">IFERROR(INDEX('Bench Data'!D2:D78,MATCH(A11,'Bench Data'!F2:F78,0)),"Not in Bench")</f>
        <v>RFD</v>
      </c>
      <c r="F11" s="62" t="str">
        <f aca="false">IFERROR(INDEX('Bench Data'!E2:E78,MATCH(A11,'Bench Data'!F2:F78,0)),"-")</f>
        <v>Asset</v>
      </c>
    </row>
    <row r="12" customFormat="false" ht="15" hidden="false" customHeight="true" outlineLevel="0" collapsed="false">
      <c r="A12" s="31" t="s">
        <v>256</v>
      </c>
      <c r="B12" s="38" t="n">
        <f aca="false">COUNTIF('Bench Intv Data'!C2:C135,A12)</f>
        <v>5</v>
      </c>
      <c r="C12" s="38" t="n">
        <f aca="false">SUMPRODUCT(('Bench Intv Data'!C2:C135=A12)*ISNUMBER(SEARCH("Selected",'Bench Intv Data'!I2:I135)))</f>
        <v>2</v>
      </c>
      <c r="D12" s="38" t="n">
        <f aca="false">SUMPRODUCT(('Bench Intv Data'!C2:C135=A12)*ISNUMBER(SEARCH("Rejected",'Bench Intv Data'!I2:I135)))</f>
        <v>0</v>
      </c>
      <c r="E12" s="62" t="str">
        <f aca="false">IFERROR(INDEX('Bench Data'!D2:D78,MATCH(A12,'Bench Data'!F2:F78,0)),"Not in Bench")</f>
        <v>RFD</v>
      </c>
      <c r="F12" s="62" t="str">
        <f aca="false">IFERROR(INDEX('Bench Data'!E2:E78,MATCH(A12,'Bench Data'!F2:F78,0)),"-")</f>
        <v>Asset</v>
      </c>
    </row>
    <row r="13" customFormat="false" ht="26.25" hidden="false" customHeight="true" outlineLevel="0" collapsed="false">
      <c r="A13" s="31" t="s">
        <v>257</v>
      </c>
      <c r="B13" s="38" t="n">
        <f aca="false">COUNTIF('Bench Intv Data'!C2:C135,A13)</f>
        <v>5</v>
      </c>
      <c r="C13" s="38" t="n">
        <f aca="false">SUMPRODUCT(('Bench Intv Data'!C2:C135=A13)*ISNUMBER(SEARCH("Selected",'Bench Intv Data'!I2:I135)))</f>
        <v>1</v>
      </c>
      <c r="D13" s="38" t="n">
        <f aca="false">SUMPRODUCT(('Bench Intv Data'!C2:C135=A13)*ISNUMBER(SEARCH("Rejected",'Bench Intv Data'!I2:I135)))</f>
        <v>1</v>
      </c>
      <c r="E13" s="62" t="str">
        <f aca="false">IFERROR(INDEX('Bench Data'!D2:D78,MATCH(A13,'Bench Data'!F2:F78,0)),"Not in Bench")</f>
        <v>RFD</v>
      </c>
      <c r="F13" s="62" t="str">
        <f aca="false">IFERROR(INDEX('Bench Data'!E2:E78,MATCH(A13,'Bench Data'!F2:F78,0)),"-")</f>
        <v>Asset</v>
      </c>
    </row>
    <row r="14" customFormat="false" ht="15" hidden="false" customHeight="true" outlineLevel="0" collapsed="false">
      <c r="A14" s="31" t="s">
        <v>258</v>
      </c>
      <c r="B14" s="38" t="n">
        <f aca="false">COUNTIF('Bench Intv Data'!C2:C135,A14)</f>
        <v>4</v>
      </c>
      <c r="C14" s="38" t="n">
        <f aca="false">SUMPRODUCT(('Bench Intv Data'!C2:C135=A14)*ISNUMBER(SEARCH("Selected",'Bench Intv Data'!I2:I135)))</f>
        <v>2</v>
      </c>
      <c r="D14" s="38" t="n">
        <f aca="false">SUMPRODUCT(('Bench Intv Data'!C2:C135=A14)*ISNUMBER(SEARCH("Rejected",'Bench Intv Data'!I2:I135)))</f>
        <v>2</v>
      </c>
      <c r="E14" s="62" t="str">
        <f aca="false">IFERROR(INDEX('Bench Data'!D2:D78,MATCH(A14,'Bench Data'!F2:F78,0)),"Not in Bench")</f>
        <v>RFD</v>
      </c>
      <c r="F14" s="62" t="str">
        <f aca="false">IFERROR(INDEX('Bench Data'!E2:E78,MATCH(A14,'Bench Data'!F2:F78,0)),"-")</f>
        <v>Asset</v>
      </c>
    </row>
    <row r="15" customFormat="false" ht="15" hidden="false" customHeight="true" outlineLevel="0" collapsed="false">
      <c r="A15" s="31" t="s">
        <v>259</v>
      </c>
      <c r="B15" s="38" t="n">
        <f aca="false">COUNTIF('Bench Intv Data'!C2:C135,A15)</f>
        <v>4</v>
      </c>
      <c r="C15" s="38" t="n">
        <f aca="false">SUMPRODUCT(('Bench Intv Data'!C2:C135=A15)*ISNUMBER(SEARCH("Selected",'Bench Intv Data'!I2:I135)))</f>
        <v>3</v>
      </c>
      <c r="D15" s="38" t="n">
        <f aca="false">SUMPRODUCT(('Bench Intv Data'!C2:C135=A15)*ISNUMBER(SEARCH("Rejected",'Bench Intv Data'!I2:I135)))</f>
        <v>1</v>
      </c>
      <c r="E15" s="62" t="str">
        <f aca="false">IFERROR(INDEX('Bench Data'!D2:D78,MATCH(A15,'Bench Data'!F2:F78,0)),"Not in Bench")</f>
        <v>WFD</v>
      </c>
      <c r="F15" s="62" t="str">
        <f aca="false">IFERROR(INDEX('Bench Data'!E2:E78,MATCH(A15,'Bench Data'!F2:F78,0)),"-")</f>
        <v>Medium</v>
      </c>
    </row>
    <row r="16" customFormat="false" ht="15" hidden="false" customHeight="true" outlineLevel="0" collapsed="false">
      <c r="A16" s="31" t="s">
        <v>260</v>
      </c>
      <c r="B16" s="38" t="n">
        <f aca="false">COUNTIF('Bench Intv Data'!C2:C135,A16)</f>
        <v>4</v>
      </c>
      <c r="C16" s="38" t="n">
        <f aca="false">SUMPRODUCT(('Bench Intv Data'!C2:C135=A16)*ISNUMBER(SEARCH("Selected",'Bench Intv Data'!I2:I135)))</f>
        <v>2</v>
      </c>
      <c r="D16" s="38" t="n">
        <f aca="false">SUMPRODUCT(('Bench Intv Data'!C2:C135=A16)*ISNUMBER(SEARCH("Rejected",'Bench Intv Data'!I2:I135)))</f>
        <v>1</v>
      </c>
      <c r="E16" s="62" t="str">
        <f aca="false">IFERROR(INDEX('Bench Data'!D2:D78,MATCH(A16,'Bench Data'!F2:F78,0)),"Not in Bench")</f>
        <v>RFD</v>
      </c>
      <c r="F16" s="62" t="str">
        <f aca="false">IFERROR(INDEX('Bench Data'!E2:E78,MATCH(A16,'Bench Data'!F2:F78,0)),"-")</f>
        <v>Asset</v>
      </c>
    </row>
    <row r="17" customFormat="false" ht="15" hidden="false" customHeight="true" outlineLevel="0" collapsed="false">
      <c r="A17" s="31" t="s">
        <v>261</v>
      </c>
      <c r="B17" s="38" t="n">
        <f aca="false">COUNTIF('Bench Intv Data'!C2:C135,A17)</f>
        <v>4</v>
      </c>
      <c r="C17" s="38" t="n">
        <f aca="false">SUMPRODUCT(('Bench Intv Data'!C2:C135=A17)*ISNUMBER(SEARCH("Selected",'Bench Intv Data'!I2:I135)))</f>
        <v>1</v>
      </c>
      <c r="D17" s="38" t="n">
        <f aca="false">SUMPRODUCT(('Bench Intv Data'!C2:C135=A17)*ISNUMBER(SEARCH("Rejected",'Bench Intv Data'!I2:I135)))</f>
        <v>1</v>
      </c>
      <c r="E17" s="62" t="str">
        <f aca="false">IFERROR(INDEX('Bench Data'!D2:D78,MATCH(A17,'Bench Data'!F2:F78,0)),"Not in Bench")</f>
        <v>RFD</v>
      </c>
      <c r="F17" s="62" t="str">
        <f aca="false">IFERROR(INDEX('Bench Data'!E2:E78,MATCH(A17,'Bench Data'!F2:F78,0)),"-")</f>
        <v>Asset</v>
      </c>
    </row>
    <row r="18" customFormat="false" ht="15" hidden="false" customHeight="true" outlineLevel="0" collapsed="false">
      <c r="A18" s="31" t="s">
        <v>262</v>
      </c>
      <c r="B18" s="38" t="n">
        <f aca="false">COUNTIF('Bench Intv Data'!C2:C135,A18)</f>
        <v>3</v>
      </c>
      <c r="C18" s="38" t="n">
        <f aca="false">SUMPRODUCT(('Bench Intv Data'!C2:C135=A18)*ISNUMBER(SEARCH("Selected",'Bench Intv Data'!I2:I135)))</f>
        <v>2</v>
      </c>
      <c r="D18" s="38" t="n">
        <f aca="false">SUMPRODUCT(('Bench Intv Data'!C2:C135=A18)*ISNUMBER(SEARCH("Rejected",'Bench Intv Data'!I2:I135)))</f>
        <v>0</v>
      </c>
      <c r="E18" s="62" t="str">
        <f aca="false">IFERROR(INDEX('Bench Data'!D2:D78,MATCH(A18,'Bench Data'!F2:F78,0)),"Not in Bench")</f>
        <v>RFD</v>
      </c>
      <c r="F18" s="62" t="str">
        <f aca="false">IFERROR(INDEX('Bench Data'!E2:E78,MATCH(A18,'Bench Data'!F2:F78,0)),"-")</f>
        <v>Asset</v>
      </c>
    </row>
    <row r="19" customFormat="false" ht="15" hidden="false" customHeight="true" outlineLevel="0" collapsed="false">
      <c r="A19" s="31" t="s">
        <v>263</v>
      </c>
      <c r="B19" s="38" t="n">
        <f aca="false">COUNTIF('Bench Intv Data'!C2:C135,A19)</f>
        <v>3</v>
      </c>
      <c r="C19" s="38" t="n">
        <f aca="false">SUMPRODUCT(('Bench Intv Data'!C2:C135=A19)*ISNUMBER(SEARCH("Selected",'Bench Intv Data'!I2:I135)))</f>
        <v>1</v>
      </c>
      <c r="D19" s="38" t="n">
        <f aca="false">SUMPRODUCT(('Bench Intv Data'!C2:C135=A19)*ISNUMBER(SEARCH("Rejected",'Bench Intv Data'!I2:I135)))</f>
        <v>0</v>
      </c>
      <c r="E19" s="62" t="str">
        <f aca="false">IFERROR(INDEX('Bench Data'!D2:D78,MATCH(A19,'Bench Data'!F2:F78,0)),"Not in Bench")</f>
        <v>RFD</v>
      </c>
      <c r="F19" s="62" t="str">
        <f aca="false">IFERROR(INDEX('Bench Data'!E2:E78,MATCH(A19,'Bench Data'!F2:F78,0)),"-")</f>
        <v>Asset</v>
      </c>
    </row>
  </sheetData>
  <mergeCells count="2">
    <mergeCell ref="A1:F1"/>
    <mergeCell ref="A2:F2"/>
  </mergeCells>
  <conditionalFormatting sqref="F5:F19">
    <cfRule type="cellIs" priority="2" operator="equal" aboveAverage="0" equalAverage="0" bottom="0" percent="0" rank="0" text="" dxfId="0">
      <formula>"Asset"</formula>
    </cfRule>
    <cfRule type="cellIs" priority="3" operator="equal" aboveAverage="0" equalAverage="0" bottom="0" percent="0" rank="0" text="" dxfId="5">
      <formula>"Medium"</formula>
    </cfRule>
    <cfRule type="cellIs" priority="4" operator="equal" aboveAverage="0" equalAverage="0" bottom="0" percent="0" rank="0" text="" dxfId="1">
      <formula>"Lialibility"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4" min="4" style="1" width="18"/>
  </cols>
  <sheetData>
    <row r="1" customFormat="false" ht="21.75" hidden="false" customHeight="true" outlineLevel="0" collapsed="false">
      <c r="A1" s="2" t="s">
        <v>264</v>
      </c>
      <c r="B1" s="2"/>
      <c r="C1" s="2"/>
      <c r="D1" s="2"/>
    </row>
    <row r="2" customFormat="false" ht="15" hidden="false" customHeight="true" outlineLevel="0" collapsed="false">
      <c r="A2" s="3" t="s">
        <v>265</v>
      </c>
      <c r="B2" s="3"/>
      <c r="C2" s="3"/>
      <c r="D2" s="3"/>
    </row>
    <row r="4" customFormat="false" ht="27.75" hidden="false" customHeight="true" outlineLevel="0" collapsed="false">
      <c r="A4" s="36" t="s">
        <v>266</v>
      </c>
      <c r="B4" s="36" t="s">
        <v>267</v>
      </c>
      <c r="C4" s="36" t="s">
        <v>268</v>
      </c>
      <c r="D4" s="36" t="s">
        <v>269</v>
      </c>
    </row>
    <row r="5" customFormat="false" ht="15" hidden="false" customHeight="true" outlineLevel="0" collapsed="false">
      <c r="A5" s="31" t="s">
        <v>197</v>
      </c>
      <c r="B5" s="38" t="n">
        <f aca="false">COUNTIF('BD Data'!K2:K165,"Bench")</f>
        <v>88</v>
      </c>
      <c r="C5" s="38" t="n">
        <f aca="false">COUNTIF('BD Data'!K2:K165,"Market")</f>
        <v>66</v>
      </c>
      <c r="D5" s="37" t="str">
        <f aca="false">IF(B5&gt;C5,"Bench leads",IF(C5&gt;B5,"Market leads","Tied"))</f>
        <v>Bench leads</v>
      </c>
    </row>
    <row r="6" customFormat="false" ht="15" hidden="false" customHeight="true" outlineLevel="0" collapsed="false">
      <c r="A6" s="31" t="s">
        <v>61</v>
      </c>
      <c r="B6" s="38" t="n">
        <f aca="false">COUNTIFS('BD Data'!K2:K165,"Bench",'BD Data'!N2:N165,"Onboarded")</f>
        <v>4</v>
      </c>
      <c r="C6" s="38" t="n">
        <f aca="false">COUNTIFS('BD Data'!K2:K165,"Market",'BD Data'!N2:N165,"Onboarded")</f>
        <v>0</v>
      </c>
      <c r="D6" s="37" t="str">
        <f aca="false">IF(B6&gt;C6,"Bench leads",IF(C6&gt;B6,"Market leads","Tied"))</f>
        <v>Bench leads</v>
      </c>
    </row>
    <row r="7" customFormat="false" ht="15" hidden="false" customHeight="true" outlineLevel="0" collapsed="false">
      <c r="A7" s="31" t="s">
        <v>270</v>
      </c>
      <c r="B7" s="38" t="n">
        <f aca="false">COUNTIFS('BD Data'!K2:K165,"Bench",'BD Data'!N2:N165,"Final Select")</f>
        <v>5</v>
      </c>
      <c r="C7" s="38" t="n">
        <f aca="false">COUNTIFS('BD Data'!K2:K165,"Market",'BD Data'!N2:N165,"Final Select")</f>
        <v>1</v>
      </c>
      <c r="D7" s="37" t="str">
        <f aca="false">IF(B7&gt;C7,"Bench leads",IF(C7&gt;B7,"Market leads","Tied"))</f>
        <v>Bench leads</v>
      </c>
    </row>
    <row r="8" customFormat="false" ht="15" hidden="false" customHeight="true" outlineLevel="0" collapsed="false">
      <c r="A8" s="31" t="s">
        <v>198</v>
      </c>
      <c r="B8" s="38" t="n">
        <f aca="false">COUNTIFS('BD Data'!K2:K165,"Bench",'BD Data'!N2:N165,"Profile Rejected")</f>
        <v>26</v>
      </c>
      <c r="C8" s="38" t="n">
        <f aca="false">COUNTIFS('BD Data'!K2:K165,"Market",'BD Data'!N2:N165,"Profile Rejected")</f>
        <v>30</v>
      </c>
      <c r="D8" s="37" t="str">
        <f aca="false">IF(B8&gt;C8,"Bench leads",IF(C8&gt;B8,"Market leads","Tied"))</f>
        <v>Market leads</v>
      </c>
    </row>
    <row r="9" customFormat="false" ht="15" hidden="false" customHeight="true" outlineLevel="0" collapsed="false">
      <c r="A9" s="31" t="s">
        <v>271</v>
      </c>
      <c r="B9" s="38" t="n">
        <f aca="false">COUNTIFS('BD Data'!K2:K165,"Bench",'BD Data'!N2:N165,"Lost / Deferred")</f>
        <v>14</v>
      </c>
      <c r="C9" s="38" t="n">
        <f aca="false">COUNTIFS('BD Data'!K2:K165,"Market",'BD Data'!N2:N165,"Lost / Deferred")</f>
        <v>19</v>
      </c>
      <c r="D9" s="37" t="str">
        <f aca="false">IF(B9&gt;C9,"Bench leads",IF(C9&gt;B9,"Market leads","Tied"))</f>
        <v>Market leads</v>
      </c>
    </row>
    <row r="10" customFormat="false" ht="15" hidden="false" customHeight="true" outlineLevel="0" collapsed="false">
      <c r="A10" s="31" t="s">
        <v>8</v>
      </c>
      <c r="B10" s="38" t="n">
        <f aca="false">COUNTIFS('BD Data'!K2:K165,"Bench",'BD Data'!N2:N165,"Profile Shared")+COUNTIFS('BD Data'!K2:K165,"Bench",'BD Data'!N2:N165,"Awaiting Feedback")+COUNTIFS('BD Data'!K2:K165,"Bench",'BD Data'!N2:N165,"On Hold")+COUNTIFS('BD Data'!K2:K165,"Bench",'BD Data'!N2:N165,"Shortlisted")+COUNTIFS('BD Data'!K2:K165,"Bench",'BD Data'!N2:N165,"Final Select")</f>
        <v>41</v>
      </c>
      <c r="C10" s="38" t="n">
        <f aca="false">COUNTIFS('BD Data'!K2:K165,"Market",'BD Data'!N2:N165,"Profile Shared")+COUNTIFS('BD Data'!K2:K165,"Market",'BD Data'!N2:N165,"Awaiting Feedback")+COUNTIFS('BD Data'!K2:K165,"Market",'BD Data'!N2:N165,"On Hold")+COUNTIFS('BD Data'!K2:K165,"Market",'BD Data'!N2:N165,"Shortlisted")+COUNTIFS('BD Data'!K2:K165,"Market",'BD Data'!N2:N165,"Final Select")</f>
        <v>11</v>
      </c>
      <c r="D10" s="37" t="str">
        <f aca="false">IF(B10&gt;C10,"Bench leads",IF(C10&gt;B10,"Market leads","Tied"))</f>
        <v>Bench leads</v>
      </c>
    </row>
    <row r="12" customFormat="false" ht="15" hidden="false" customHeight="true" outlineLevel="0" collapsed="false">
      <c r="A12" s="5" t="s">
        <v>272</v>
      </c>
      <c r="B12" s="5"/>
      <c r="C12" s="5"/>
      <c r="D12" s="5"/>
    </row>
    <row r="13" customFormat="false" ht="15" hidden="false" customHeight="true" outlineLevel="0" collapsed="false">
      <c r="A13" s="31" t="s">
        <v>201</v>
      </c>
      <c r="B13" s="56" t="n">
        <f aca="false">IFERROR(B6/B5,0)</f>
        <v>0.0454545454545455</v>
      </c>
      <c r="C13" s="56" t="n">
        <f aca="false">IFERROR(C6/C5,0)</f>
        <v>0</v>
      </c>
      <c r="D13" s="37" t="str">
        <f aca="false">IF(B13&gt;C13,"Bench better",IF(C13&gt;B13,"Market better","Tied"))</f>
        <v>Bench better</v>
      </c>
    </row>
    <row r="14" customFormat="false" ht="15" hidden="false" customHeight="true" outlineLevel="0" collapsed="false">
      <c r="A14" s="31" t="s">
        <v>273</v>
      </c>
      <c r="B14" s="56" t="n">
        <f aca="false">IFERROR(B8/B5,0)</f>
        <v>0.295454545454545</v>
      </c>
      <c r="C14" s="56" t="n">
        <f aca="false">IFERROR(C8/C5,0)</f>
        <v>0.454545454545455</v>
      </c>
      <c r="D14" s="37" t="str">
        <f aca="false">IF(B14&gt;C14,"Bench better",IF(C14&gt;B14,"Market better","Tied"))</f>
        <v>Market better</v>
      </c>
    </row>
    <row r="15" customFormat="false" ht="15" hidden="false" customHeight="true" outlineLevel="0" collapsed="false">
      <c r="A15" s="31" t="s">
        <v>274</v>
      </c>
      <c r="B15" s="56" t="n">
        <f aca="false">IFERROR(B9/B5,0)</f>
        <v>0.159090909090909</v>
      </c>
      <c r="C15" s="56" t="n">
        <f aca="false">IFERROR(C9/C5,0)</f>
        <v>0.287878787878788</v>
      </c>
      <c r="D15" s="37" t="str">
        <f aca="false">IF(B15&gt;C15,"Bench better",IF(C15&gt;B15,"Market better","Tied"))</f>
        <v>Market better</v>
      </c>
    </row>
    <row r="16" customFormat="false" ht="15" hidden="false" customHeight="true" outlineLevel="0" collapsed="false">
      <c r="A16" s="31" t="s">
        <v>275</v>
      </c>
      <c r="B16" s="56" t="n">
        <f aca="false">IFERROR(B10/B5,0)</f>
        <v>0.465909090909091</v>
      </c>
      <c r="C16" s="56" t="n">
        <f aca="false">IFERROR(C10/C5,0)</f>
        <v>0.166666666666667</v>
      </c>
      <c r="D16" s="37" t="str">
        <f aca="false">IF(B16&gt;C16,"Bench better",IF(C16&gt;B16,"Market better","Tied"))</f>
        <v>Bench better</v>
      </c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8" min="7" style="1" width="8"/>
    <col collapsed="false" customWidth="true" hidden="false" outlineLevel="0" max="11" min="9" style="1" width="10"/>
    <col collapsed="false" customWidth="true" hidden="false" outlineLevel="0" max="12" min="12" style="1" width="22"/>
    <col collapsed="false" customWidth="true" hidden="false" outlineLevel="0" max="13" min="13" style="1" width="8"/>
    <col collapsed="false" customWidth="true" hidden="false" outlineLevel="0" max="14" min="14" style="1" width="22"/>
    <col collapsed="false" customWidth="true" hidden="false" outlineLevel="0" max="15" min="15" style="1" width="14"/>
  </cols>
  <sheetData>
    <row r="1" customFormat="false" ht="26.25" hidden="false" customHeight="true" outlineLevel="0" collapsed="false">
      <c r="A1" s="36" t="s">
        <v>276</v>
      </c>
      <c r="B1" s="36" t="s">
        <v>80</v>
      </c>
      <c r="C1" s="36" t="s">
        <v>81</v>
      </c>
      <c r="D1" s="36" t="s">
        <v>277</v>
      </c>
      <c r="E1" s="36" t="s">
        <v>278</v>
      </c>
      <c r="F1" s="36" t="s">
        <v>279</v>
      </c>
      <c r="G1" s="36" t="s">
        <v>280</v>
      </c>
      <c r="H1" s="36" t="s">
        <v>281</v>
      </c>
      <c r="I1" s="36" t="s">
        <v>282</v>
      </c>
      <c r="J1" s="36" t="s">
        <v>82</v>
      </c>
      <c r="K1" s="36" t="s">
        <v>283</v>
      </c>
      <c r="L1" s="36" t="s">
        <v>284</v>
      </c>
      <c r="M1" s="36" t="s">
        <v>285</v>
      </c>
      <c r="N1" s="36" t="s">
        <v>79</v>
      </c>
      <c r="O1" s="36" t="s">
        <v>286</v>
      </c>
    </row>
    <row r="2" customFormat="false" ht="15" hidden="false" customHeight="true" outlineLevel="0" collapsed="false">
      <c r="A2" s="63" t="n">
        <v>46093</v>
      </c>
      <c r="B2" s="64" t="s">
        <v>127</v>
      </c>
      <c r="C2" s="64" t="s">
        <v>163</v>
      </c>
      <c r="D2" s="64"/>
      <c r="E2" s="64" t="s">
        <v>287</v>
      </c>
      <c r="F2" s="64" t="n">
        <v>100000</v>
      </c>
      <c r="G2" s="64" t="s">
        <v>288</v>
      </c>
      <c r="H2" s="64" t="n">
        <v>6</v>
      </c>
      <c r="I2" s="64"/>
      <c r="J2" s="64"/>
      <c r="K2" s="64" t="s">
        <v>267</v>
      </c>
      <c r="L2" s="64" t="s">
        <v>289</v>
      </c>
      <c r="M2" s="64"/>
      <c r="N2" s="64" t="s">
        <v>61</v>
      </c>
      <c r="O2" s="63" t="n">
        <v>46094</v>
      </c>
    </row>
    <row r="3" customFormat="false" ht="15" hidden="false" customHeight="true" outlineLevel="0" collapsed="false">
      <c r="A3" s="63" t="n">
        <v>46093</v>
      </c>
      <c r="B3" s="64" t="s">
        <v>141</v>
      </c>
      <c r="C3" s="64" t="s">
        <v>142</v>
      </c>
      <c r="D3" s="64"/>
      <c r="E3" s="64" t="s">
        <v>290</v>
      </c>
      <c r="F3" s="64"/>
      <c r="G3" s="64" t="s">
        <v>288</v>
      </c>
      <c r="H3" s="64" t="n">
        <v>6</v>
      </c>
      <c r="I3" s="64" t="s">
        <v>95</v>
      </c>
      <c r="J3" s="64" t="s">
        <v>99</v>
      </c>
      <c r="K3" s="64" t="s">
        <v>267</v>
      </c>
      <c r="L3" s="64" t="s">
        <v>291</v>
      </c>
      <c r="M3" s="64" t="s">
        <v>292</v>
      </c>
      <c r="N3" s="64" t="s">
        <v>61</v>
      </c>
      <c r="O3" s="63" t="n">
        <v>46098</v>
      </c>
    </row>
    <row r="4" customFormat="false" ht="15" hidden="false" customHeight="true" outlineLevel="0" collapsed="false">
      <c r="A4" s="63" t="n">
        <v>46097</v>
      </c>
      <c r="B4" s="64" t="s">
        <v>92</v>
      </c>
      <c r="C4" s="64" t="s">
        <v>93</v>
      </c>
      <c r="D4" s="64"/>
      <c r="E4" s="64" t="s">
        <v>293</v>
      </c>
      <c r="F4" s="64"/>
      <c r="G4" s="64" t="s">
        <v>288</v>
      </c>
      <c r="H4" s="64" t="n">
        <v>12</v>
      </c>
      <c r="I4" s="64" t="s">
        <v>95</v>
      </c>
      <c r="J4" s="64" t="s">
        <v>94</v>
      </c>
      <c r="K4" s="64" t="s">
        <v>267</v>
      </c>
      <c r="L4" s="64" t="s">
        <v>259</v>
      </c>
      <c r="M4" s="64" t="s">
        <v>292</v>
      </c>
      <c r="N4" s="64" t="s">
        <v>199</v>
      </c>
      <c r="O4" s="64" t="s">
        <v>294</v>
      </c>
    </row>
    <row r="5" customFormat="false" ht="15" hidden="false" customHeight="true" outlineLevel="0" collapsed="false">
      <c r="A5" s="63" t="n">
        <v>46105</v>
      </c>
      <c r="B5" s="64" t="s">
        <v>98</v>
      </c>
      <c r="C5" s="64" t="s">
        <v>93</v>
      </c>
      <c r="D5" s="64"/>
      <c r="E5" s="64" t="s">
        <v>295</v>
      </c>
      <c r="F5" s="64"/>
      <c r="G5" s="64" t="s">
        <v>288</v>
      </c>
      <c r="H5" s="64" t="n">
        <v>6</v>
      </c>
      <c r="I5" s="64" t="s">
        <v>95</v>
      </c>
      <c r="J5" s="64" t="s">
        <v>99</v>
      </c>
      <c r="K5" s="64" t="s">
        <v>267</v>
      </c>
      <c r="L5" s="64" t="s">
        <v>256</v>
      </c>
      <c r="M5" s="64" t="s">
        <v>296</v>
      </c>
      <c r="N5" s="64" t="s">
        <v>297</v>
      </c>
      <c r="O5" s="64" t="s">
        <v>298</v>
      </c>
    </row>
    <row r="6" customFormat="false" ht="15" hidden="false" customHeight="true" outlineLevel="0" collapsed="false">
      <c r="A6" s="63" t="n">
        <v>46108</v>
      </c>
      <c r="B6" s="64" t="s">
        <v>101</v>
      </c>
      <c r="C6" s="64" t="s">
        <v>102</v>
      </c>
      <c r="D6" s="64"/>
      <c r="E6" s="64" t="s">
        <v>293</v>
      </c>
      <c r="F6" s="64"/>
      <c r="G6" s="64" t="s">
        <v>288</v>
      </c>
      <c r="H6" s="64" t="n">
        <v>6</v>
      </c>
      <c r="I6" s="64" t="s">
        <v>95</v>
      </c>
      <c r="J6" s="64" t="s">
        <v>103</v>
      </c>
      <c r="K6" s="64" t="s">
        <v>267</v>
      </c>
      <c r="L6" s="64" t="s">
        <v>299</v>
      </c>
      <c r="M6" s="64"/>
      <c r="N6" s="64" t="s">
        <v>300</v>
      </c>
      <c r="O6" s="64"/>
    </row>
    <row r="7" customFormat="false" ht="15" hidden="false" customHeight="true" outlineLevel="0" collapsed="false">
      <c r="A7" s="63" t="n">
        <v>46111</v>
      </c>
      <c r="B7" s="64" t="s">
        <v>149</v>
      </c>
      <c r="C7" s="64" t="s">
        <v>165</v>
      </c>
      <c r="D7" s="64"/>
      <c r="E7" s="64" t="s">
        <v>301</v>
      </c>
      <c r="F7" s="64"/>
      <c r="G7" s="64" t="s">
        <v>288</v>
      </c>
      <c r="H7" s="64" t="n">
        <v>12</v>
      </c>
      <c r="I7" s="64" t="s">
        <v>95</v>
      </c>
      <c r="J7" s="64" t="s">
        <v>151</v>
      </c>
      <c r="K7" s="64" t="s">
        <v>267</v>
      </c>
      <c r="L7" s="64" t="s">
        <v>302</v>
      </c>
      <c r="M7" s="64" t="s">
        <v>303</v>
      </c>
      <c r="N7" s="64" t="s">
        <v>61</v>
      </c>
      <c r="O7" s="63" t="n">
        <v>46177</v>
      </c>
    </row>
    <row r="8" customFormat="false" ht="15" hidden="false" customHeight="true" outlineLevel="0" collapsed="false">
      <c r="A8" s="63" t="n">
        <v>46111</v>
      </c>
      <c r="B8" s="64" t="s">
        <v>149</v>
      </c>
      <c r="C8" s="64" t="s">
        <v>165</v>
      </c>
      <c r="D8" s="64"/>
      <c r="E8" s="64" t="s">
        <v>301</v>
      </c>
      <c r="F8" s="64"/>
      <c r="G8" s="64" t="s">
        <v>288</v>
      </c>
      <c r="H8" s="64" t="n">
        <v>12</v>
      </c>
      <c r="I8" s="64" t="s">
        <v>95</v>
      </c>
      <c r="J8" s="64" t="s">
        <v>151</v>
      </c>
      <c r="K8" s="64" t="s">
        <v>268</v>
      </c>
      <c r="L8" s="64" t="s">
        <v>304</v>
      </c>
      <c r="M8" s="64" t="s">
        <v>296</v>
      </c>
      <c r="N8" s="64" t="s">
        <v>305</v>
      </c>
      <c r="O8" s="63" t="n">
        <v>46177</v>
      </c>
    </row>
    <row r="9" customFormat="false" ht="15" hidden="false" customHeight="true" outlineLevel="0" collapsed="false">
      <c r="A9" s="63" t="n">
        <v>46111</v>
      </c>
      <c r="B9" s="64" t="s">
        <v>149</v>
      </c>
      <c r="C9" s="64" t="s">
        <v>165</v>
      </c>
      <c r="D9" s="64"/>
      <c r="E9" s="64" t="s">
        <v>301</v>
      </c>
      <c r="F9" s="64"/>
      <c r="G9" s="64" t="s">
        <v>288</v>
      </c>
      <c r="H9" s="64" t="n">
        <v>12</v>
      </c>
      <c r="I9" s="64" t="s">
        <v>95</v>
      </c>
      <c r="J9" s="64" t="s">
        <v>151</v>
      </c>
      <c r="K9" s="64" t="s">
        <v>268</v>
      </c>
      <c r="L9" s="64" t="s">
        <v>306</v>
      </c>
      <c r="M9" s="64"/>
      <c r="N9" s="64" t="s">
        <v>271</v>
      </c>
      <c r="O9" s="64"/>
    </row>
    <row r="10" customFormat="false" ht="15" hidden="false" customHeight="true" outlineLevel="0" collapsed="false">
      <c r="A10" s="63" t="n">
        <v>46113</v>
      </c>
      <c r="B10" s="64" t="s">
        <v>307</v>
      </c>
      <c r="C10" s="64" t="s">
        <v>308</v>
      </c>
      <c r="D10" s="64"/>
      <c r="E10" s="64" t="n">
        <v>3</v>
      </c>
      <c r="F10" s="64"/>
      <c r="G10" s="64" t="s">
        <v>288</v>
      </c>
      <c r="H10" s="64" t="n">
        <v>6</v>
      </c>
      <c r="I10" s="64" t="s">
        <v>95</v>
      </c>
      <c r="J10" s="64" t="s">
        <v>99</v>
      </c>
      <c r="K10" s="64" t="s">
        <v>268</v>
      </c>
      <c r="L10" s="64" t="s">
        <v>309</v>
      </c>
      <c r="M10" s="64" t="s">
        <v>310</v>
      </c>
      <c r="N10" s="64" t="s">
        <v>311</v>
      </c>
      <c r="O10" s="63" t="n">
        <v>46299</v>
      </c>
    </row>
    <row r="11" customFormat="false" ht="15" hidden="false" customHeight="true" outlineLevel="0" collapsed="false">
      <c r="A11" s="63" t="n">
        <v>46113</v>
      </c>
      <c r="B11" s="64" t="s">
        <v>127</v>
      </c>
      <c r="C11" s="64" t="s">
        <v>308</v>
      </c>
      <c r="D11" s="64"/>
      <c r="E11" s="64" t="s">
        <v>295</v>
      </c>
      <c r="F11" s="64"/>
      <c r="G11" s="64" t="s">
        <v>288</v>
      </c>
      <c r="H11" s="64" t="n">
        <v>6</v>
      </c>
      <c r="I11" s="64" t="s">
        <v>95</v>
      </c>
      <c r="J11" s="64" t="s">
        <v>99</v>
      </c>
      <c r="K11" s="64" t="s">
        <v>268</v>
      </c>
      <c r="L11" s="64" t="s">
        <v>312</v>
      </c>
      <c r="M11" s="64" t="s">
        <v>310</v>
      </c>
      <c r="N11" s="64" t="s">
        <v>198</v>
      </c>
      <c r="O11" s="63" t="n">
        <v>46299</v>
      </c>
    </row>
    <row r="12" customFormat="false" ht="15" hidden="false" customHeight="true" outlineLevel="0" collapsed="false">
      <c r="A12" s="63" t="n">
        <v>46113</v>
      </c>
      <c r="B12" s="64" t="s">
        <v>105</v>
      </c>
      <c r="C12" s="64" t="s">
        <v>93</v>
      </c>
      <c r="D12" s="64"/>
      <c r="E12" s="64" t="s">
        <v>293</v>
      </c>
      <c r="F12" s="64"/>
      <c r="G12" s="64" t="s">
        <v>288</v>
      </c>
      <c r="H12" s="64" t="n">
        <v>6</v>
      </c>
      <c r="I12" s="64" t="s">
        <v>95</v>
      </c>
      <c r="J12" s="64" t="s">
        <v>99</v>
      </c>
      <c r="K12" s="64" t="s">
        <v>267</v>
      </c>
      <c r="L12" s="64" t="s">
        <v>313</v>
      </c>
      <c r="M12" s="64" t="s">
        <v>296</v>
      </c>
      <c r="N12" s="64" t="s">
        <v>198</v>
      </c>
      <c r="O12" s="63" t="n">
        <v>46299</v>
      </c>
    </row>
    <row r="13" customFormat="false" ht="15" hidden="false" customHeight="true" outlineLevel="0" collapsed="false">
      <c r="A13" s="63" t="n">
        <v>46113</v>
      </c>
      <c r="B13" s="64" t="s">
        <v>105</v>
      </c>
      <c r="C13" s="64" t="s">
        <v>93</v>
      </c>
      <c r="D13" s="64"/>
      <c r="E13" s="64" t="s">
        <v>293</v>
      </c>
      <c r="F13" s="64"/>
      <c r="G13" s="64" t="s">
        <v>288</v>
      </c>
      <c r="H13" s="64" t="n">
        <v>6</v>
      </c>
      <c r="I13" s="64" t="s">
        <v>95</v>
      </c>
      <c r="J13" s="64" t="s">
        <v>99</v>
      </c>
      <c r="K13" s="64" t="s">
        <v>267</v>
      </c>
      <c r="L13" s="64" t="s">
        <v>314</v>
      </c>
      <c r="M13" s="64"/>
      <c r="N13" s="64" t="s">
        <v>300</v>
      </c>
      <c r="O13" s="64"/>
    </row>
    <row r="14" customFormat="false" ht="15" hidden="false" customHeight="true" outlineLevel="0" collapsed="false">
      <c r="A14" s="63" t="n">
        <v>46113</v>
      </c>
      <c r="B14" s="64" t="s">
        <v>105</v>
      </c>
      <c r="C14" s="64" t="s">
        <v>93</v>
      </c>
      <c r="D14" s="64"/>
      <c r="E14" s="64" t="n">
        <v>4</v>
      </c>
      <c r="F14" s="64"/>
      <c r="G14" s="64" t="s">
        <v>288</v>
      </c>
      <c r="H14" s="64" t="n">
        <v>6</v>
      </c>
      <c r="I14" s="64" t="s">
        <v>95</v>
      </c>
      <c r="J14" s="64" t="s">
        <v>99</v>
      </c>
      <c r="K14" s="64" t="s">
        <v>267</v>
      </c>
      <c r="L14" s="64" t="s">
        <v>315</v>
      </c>
      <c r="M14" s="64"/>
      <c r="N14" s="64" t="s">
        <v>300</v>
      </c>
      <c r="O14" s="64"/>
    </row>
    <row r="15" customFormat="false" ht="15" hidden="false" customHeight="true" outlineLevel="0" collapsed="false">
      <c r="A15" s="63" t="n">
        <v>46113</v>
      </c>
      <c r="B15" s="64" t="s">
        <v>105</v>
      </c>
      <c r="C15" s="64" t="s">
        <v>93</v>
      </c>
      <c r="D15" s="64"/>
      <c r="E15" s="64" t="s">
        <v>290</v>
      </c>
      <c r="F15" s="64"/>
      <c r="G15" s="64" t="s">
        <v>288</v>
      </c>
      <c r="H15" s="64" t="n">
        <v>6</v>
      </c>
      <c r="I15" s="64" t="s">
        <v>95</v>
      </c>
      <c r="J15" s="64" t="s">
        <v>99</v>
      </c>
      <c r="K15" s="64" t="s">
        <v>267</v>
      </c>
      <c r="L15" s="64" t="s">
        <v>251</v>
      </c>
      <c r="M15" s="64"/>
      <c r="N15" s="64" t="s">
        <v>300</v>
      </c>
      <c r="O15" s="64"/>
    </row>
    <row r="16" customFormat="false" ht="15" hidden="false" customHeight="true" outlineLevel="0" collapsed="false">
      <c r="A16" s="63" t="n">
        <v>46113</v>
      </c>
      <c r="B16" s="64" t="s">
        <v>105</v>
      </c>
      <c r="C16" s="64" t="s">
        <v>93</v>
      </c>
      <c r="D16" s="64"/>
      <c r="E16" s="64" t="s">
        <v>290</v>
      </c>
      <c r="F16" s="64"/>
      <c r="G16" s="64" t="s">
        <v>288</v>
      </c>
      <c r="H16" s="64" t="n">
        <v>6</v>
      </c>
      <c r="I16" s="64" t="s">
        <v>95</v>
      </c>
      <c r="J16" s="64" t="s">
        <v>99</v>
      </c>
      <c r="K16" s="64" t="s">
        <v>267</v>
      </c>
      <c r="L16" s="64" t="s">
        <v>252</v>
      </c>
      <c r="M16" s="64" t="s">
        <v>296</v>
      </c>
      <c r="N16" s="64" t="s">
        <v>198</v>
      </c>
      <c r="O16" s="64" t="s">
        <v>316</v>
      </c>
    </row>
    <row r="17" customFormat="false" ht="15" hidden="false" customHeight="true" outlineLevel="0" collapsed="false">
      <c r="A17" s="63" t="n">
        <v>46113</v>
      </c>
      <c r="B17" s="64" t="s">
        <v>105</v>
      </c>
      <c r="C17" s="64" t="s">
        <v>93</v>
      </c>
      <c r="D17" s="64"/>
      <c r="E17" s="64" t="s">
        <v>290</v>
      </c>
      <c r="F17" s="64"/>
      <c r="G17" s="64" t="s">
        <v>288</v>
      </c>
      <c r="H17" s="64" t="n">
        <v>6</v>
      </c>
      <c r="I17" s="64" t="s">
        <v>95</v>
      </c>
      <c r="J17" s="64" t="s">
        <v>99</v>
      </c>
      <c r="K17" s="64" t="s">
        <v>267</v>
      </c>
      <c r="L17" s="64" t="s">
        <v>263</v>
      </c>
      <c r="M17" s="64" t="s">
        <v>296</v>
      </c>
      <c r="N17" s="64" t="s">
        <v>317</v>
      </c>
      <c r="O17" s="64"/>
    </row>
    <row r="18" customFormat="false" ht="15" hidden="false" customHeight="true" outlineLevel="0" collapsed="false">
      <c r="A18" s="63" t="n">
        <v>46113</v>
      </c>
      <c r="B18" s="64" t="s">
        <v>105</v>
      </c>
      <c r="C18" s="64" t="s">
        <v>93</v>
      </c>
      <c r="D18" s="64"/>
      <c r="E18" s="64" t="s">
        <v>295</v>
      </c>
      <c r="F18" s="64"/>
      <c r="G18" s="64" t="s">
        <v>288</v>
      </c>
      <c r="H18" s="64" t="n">
        <v>6</v>
      </c>
      <c r="I18" s="64" t="s">
        <v>95</v>
      </c>
      <c r="J18" s="64" t="s">
        <v>99</v>
      </c>
      <c r="K18" s="64" t="s">
        <v>267</v>
      </c>
      <c r="L18" s="64" t="s">
        <v>318</v>
      </c>
      <c r="M18" s="64"/>
      <c r="N18" s="64" t="s">
        <v>300</v>
      </c>
      <c r="O18" s="64"/>
    </row>
    <row r="19" customFormat="false" ht="15" hidden="false" customHeight="true" outlineLevel="0" collapsed="false">
      <c r="A19" s="63" t="n">
        <v>46113</v>
      </c>
      <c r="B19" s="64" t="s">
        <v>105</v>
      </c>
      <c r="C19" s="64" t="s">
        <v>93</v>
      </c>
      <c r="D19" s="64"/>
      <c r="E19" s="64" t="s">
        <v>295</v>
      </c>
      <c r="F19" s="64"/>
      <c r="G19" s="64" t="s">
        <v>288</v>
      </c>
      <c r="H19" s="64" t="n">
        <v>6</v>
      </c>
      <c r="I19" s="64" t="s">
        <v>95</v>
      </c>
      <c r="J19" s="64" t="s">
        <v>99</v>
      </c>
      <c r="K19" s="64" t="s">
        <v>267</v>
      </c>
      <c r="L19" s="64" t="s">
        <v>249</v>
      </c>
      <c r="M19" s="64"/>
      <c r="N19" s="64" t="s">
        <v>271</v>
      </c>
      <c r="O19" s="64"/>
    </row>
    <row r="20" customFormat="false" ht="15" hidden="false" customHeight="true" outlineLevel="0" collapsed="false">
      <c r="A20" s="63" t="n">
        <v>46113</v>
      </c>
      <c r="B20" s="64" t="s">
        <v>105</v>
      </c>
      <c r="C20" s="64" t="s">
        <v>93</v>
      </c>
      <c r="D20" s="64"/>
      <c r="E20" s="64" t="s">
        <v>295</v>
      </c>
      <c r="F20" s="64"/>
      <c r="G20" s="64" t="s">
        <v>288</v>
      </c>
      <c r="H20" s="64" t="n">
        <v>6</v>
      </c>
      <c r="I20" s="64" t="s">
        <v>95</v>
      </c>
      <c r="J20" s="64" t="s">
        <v>99</v>
      </c>
      <c r="K20" s="64" t="s">
        <v>267</v>
      </c>
      <c r="L20" s="64" t="s">
        <v>319</v>
      </c>
      <c r="M20" s="64"/>
      <c r="N20" s="64" t="s">
        <v>271</v>
      </c>
      <c r="O20" s="64"/>
    </row>
    <row r="21" customFormat="false" ht="15" hidden="false" customHeight="true" outlineLevel="0" collapsed="false">
      <c r="A21" s="63" t="n">
        <v>46113</v>
      </c>
      <c r="B21" s="64" t="s">
        <v>105</v>
      </c>
      <c r="C21" s="64" t="s">
        <v>93</v>
      </c>
      <c r="D21" s="64"/>
      <c r="E21" s="64" t="s">
        <v>293</v>
      </c>
      <c r="F21" s="64"/>
      <c r="G21" s="64" t="s">
        <v>288</v>
      </c>
      <c r="H21" s="64" t="n">
        <v>6</v>
      </c>
      <c r="I21" s="64" t="s">
        <v>95</v>
      </c>
      <c r="J21" s="64" t="s">
        <v>133</v>
      </c>
      <c r="K21" s="64" t="s">
        <v>267</v>
      </c>
      <c r="L21" s="64" t="s">
        <v>320</v>
      </c>
      <c r="M21" s="64" t="s">
        <v>292</v>
      </c>
      <c r="N21" s="64" t="s">
        <v>199</v>
      </c>
      <c r="O21" s="64"/>
    </row>
    <row r="22" customFormat="false" ht="15" hidden="false" customHeight="true" outlineLevel="0" collapsed="false">
      <c r="A22" s="63" t="n">
        <v>46113</v>
      </c>
      <c r="B22" s="64" t="s">
        <v>105</v>
      </c>
      <c r="C22" s="64" t="s">
        <v>93</v>
      </c>
      <c r="D22" s="64"/>
      <c r="E22" s="64" t="s">
        <v>293</v>
      </c>
      <c r="F22" s="64"/>
      <c r="G22" s="64" t="s">
        <v>288</v>
      </c>
      <c r="H22" s="64" t="n">
        <v>6</v>
      </c>
      <c r="I22" s="64" t="s">
        <v>95</v>
      </c>
      <c r="J22" s="64" t="s">
        <v>133</v>
      </c>
      <c r="K22" s="64" t="s">
        <v>267</v>
      </c>
      <c r="L22" s="64" t="s">
        <v>321</v>
      </c>
      <c r="M22" s="64"/>
      <c r="N22" s="64" t="s">
        <v>300</v>
      </c>
      <c r="O22" s="64"/>
    </row>
    <row r="23" customFormat="false" ht="15" hidden="false" customHeight="true" outlineLevel="0" collapsed="false">
      <c r="A23" s="63" t="n">
        <v>46113</v>
      </c>
      <c r="B23" s="64" t="s">
        <v>105</v>
      </c>
      <c r="C23" s="64" t="s">
        <v>93</v>
      </c>
      <c r="D23" s="64"/>
      <c r="E23" s="64" t="n">
        <v>4</v>
      </c>
      <c r="F23" s="64"/>
      <c r="G23" s="64" t="s">
        <v>288</v>
      </c>
      <c r="H23" s="64" t="n">
        <v>6</v>
      </c>
      <c r="I23" s="64" t="s">
        <v>95</v>
      </c>
      <c r="J23" s="64" t="s">
        <v>133</v>
      </c>
      <c r="K23" s="64" t="s">
        <v>267</v>
      </c>
      <c r="L23" s="64" t="s">
        <v>322</v>
      </c>
      <c r="M23" s="64"/>
      <c r="N23" s="64" t="s">
        <v>300</v>
      </c>
      <c r="O23" s="64"/>
    </row>
    <row r="24" customFormat="false" ht="15" hidden="false" customHeight="true" outlineLevel="0" collapsed="false">
      <c r="A24" s="63" t="n">
        <v>46113</v>
      </c>
      <c r="B24" s="64" t="s">
        <v>105</v>
      </c>
      <c r="C24" s="64" t="s">
        <v>93</v>
      </c>
      <c r="D24" s="64"/>
      <c r="E24" s="64" t="s">
        <v>290</v>
      </c>
      <c r="F24" s="64"/>
      <c r="G24" s="64" t="s">
        <v>288</v>
      </c>
      <c r="H24" s="64" t="n">
        <v>6</v>
      </c>
      <c r="I24" s="64" t="s">
        <v>95</v>
      </c>
      <c r="J24" s="64" t="s">
        <v>133</v>
      </c>
      <c r="K24" s="64" t="s">
        <v>267</v>
      </c>
      <c r="L24" s="64" t="s">
        <v>254</v>
      </c>
      <c r="M24" s="64" t="s">
        <v>292</v>
      </c>
      <c r="N24" s="64" t="s">
        <v>199</v>
      </c>
      <c r="O24" s="64"/>
    </row>
    <row r="25" customFormat="false" ht="15" hidden="false" customHeight="true" outlineLevel="0" collapsed="false">
      <c r="A25" s="63" t="n">
        <v>46113</v>
      </c>
      <c r="B25" s="64" t="s">
        <v>105</v>
      </c>
      <c r="C25" s="64" t="s">
        <v>93</v>
      </c>
      <c r="D25" s="64"/>
      <c r="E25" s="64" t="s">
        <v>290</v>
      </c>
      <c r="F25" s="64"/>
      <c r="G25" s="64" t="s">
        <v>288</v>
      </c>
      <c r="H25" s="64" t="n">
        <v>6</v>
      </c>
      <c r="I25" s="64" t="s">
        <v>95</v>
      </c>
      <c r="J25" s="64" t="s">
        <v>133</v>
      </c>
      <c r="K25" s="64" t="s">
        <v>267</v>
      </c>
      <c r="L25" s="64" t="s">
        <v>323</v>
      </c>
      <c r="M25" s="64" t="s">
        <v>292</v>
      </c>
      <c r="N25" s="64" t="s">
        <v>199</v>
      </c>
      <c r="O25" s="64"/>
    </row>
    <row r="26" customFormat="false" ht="15" hidden="false" customHeight="true" outlineLevel="0" collapsed="false">
      <c r="A26" s="63" t="n">
        <v>46113</v>
      </c>
      <c r="B26" s="64" t="s">
        <v>105</v>
      </c>
      <c r="C26" s="64" t="s">
        <v>93</v>
      </c>
      <c r="D26" s="64"/>
      <c r="E26" s="64" t="s">
        <v>290</v>
      </c>
      <c r="F26" s="64"/>
      <c r="G26" s="64" t="s">
        <v>288</v>
      </c>
      <c r="H26" s="64" t="n">
        <v>6</v>
      </c>
      <c r="I26" s="64" t="s">
        <v>95</v>
      </c>
      <c r="J26" s="64" t="s">
        <v>133</v>
      </c>
      <c r="K26" s="64" t="s">
        <v>267</v>
      </c>
      <c r="L26" s="64" t="s">
        <v>260</v>
      </c>
      <c r="M26" s="64" t="s">
        <v>292</v>
      </c>
      <c r="N26" s="64" t="s">
        <v>198</v>
      </c>
      <c r="O26" s="64"/>
    </row>
    <row r="27" customFormat="false" ht="15" hidden="false" customHeight="true" outlineLevel="0" collapsed="false">
      <c r="A27" s="63" t="n">
        <v>46113</v>
      </c>
      <c r="B27" s="64" t="s">
        <v>105</v>
      </c>
      <c r="C27" s="64" t="s">
        <v>93</v>
      </c>
      <c r="D27" s="64"/>
      <c r="E27" s="64" t="s">
        <v>295</v>
      </c>
      <c r="F27" s="64"/>
      <c r="G27" s="64" t="s">
        <v>288</v>
      </c>
      <c r="H27" s="64" t="n">
        <v>6</v>
      </c>
      <c r="I27" s="64" t="s">
        <v>95</v>
      </c>
      <c r="J27" s="64" t="s">
        <v>133</v>
      </c>
      <c r="K27" s="64" t="s">
        <v>267</v>
      </c>
      <c r="L27" s="64" t="s">
        <v>253</v>
      </c>
      <c r="M27" s="64" t="s">
        <v>296</v>
      </c>
      <c r="N27" s="64" t="s">
        <v>198</v>
      </c>
      <c r="O27" s="63" t="n">
        <v>46269</v>
      </c>
    </row>
    <row r="28" customFormat="false" ht="15" hidden="false" customHeight="true" outlineLevel="0" collapsed="false">
      <c r="A28" s="63" t="n">
        <v>46113</v>
      </c>
      <c r="B28" s="64" t="s">
        <v>105</v>
      </c>
      <c r="C28" s="64" t="s">
        <v>93</v>
      </c>
      <c r="D28" s="64"/>
      <c r="E28" s="64" t="s">
        <v>295</v>
      </c>
      <c r="F28" s="64"/>
      <c r="G28" s="64" t="s">
        <v>288</v>
      </c>
      <c r="H28" s="64" t="n">
        <v>6</v>
      </c>
      <c r="I28" s="64" t="s">
        <v>95</v>
      </c>
      <c r="J28" s="64" t="s">
        <v>133</v>
      </c>
      <c r="K28" s="64" t="s">
        <v>267</v>
      </c>
      <c r="L28" s="64" t="s">
        <v>259</v>
      </c>
      <c r="M28" s="64" t="s">
        <v>292</v>
      </c>
      <c r="N28" s="64" t="s">
        <v>198</v>
      </c>
      <c r="O28" s="63" t="n">
        <v>46299</v>
      </c>
    </row>
    <row r="29" customFormat="false" ht="15" hidden="false" customHeight="true" outlineLevel="0" collapsed="false">
      <c r="A29" s="63" t="n">
        <v>46113</v>
      </c>
      <c r="B29" s="64" t="s">
        <v>105</v>
      </c>
      <c r="C29" s="64" t="s">
        <v>93</v>
      </c>
      <c r="D29" s="64"/>
      <c r="E29" s="64" t="s">
        <v>295</v>
      </c>
      <c r="F29" s="64"/>
      <c r="G29" s="64" t="s">
        <v>288</v>
      </c>
      <c r="H29" s="64" t="n">
        <v>6</v>
      </c>
      <c r="I29" s="64" t="s">
        <v>95</v>
      </c>
      <c r="J29" s="64" t="s">
        <v>133</v>
      </c>
      <c r="K29" s="64" t="s">
        <v>267</v>
      </c>
      <c r="L29" s="64" t="s">
        <v>324</v>
      </c>
      <c r="M29" s="64" t="s">
        <v>296</v>
      </c>
      <c r="N29" s="64" t="s">
        <v>198</v>
      </c>
      <c r="O29" s="63" t="n">
        <v>46299</v>
      </c>
    </row>
    <row r="30" customFormat="false" ht="15" hidden="false" customHeight="true" outlineLevel="0" collapsed="false">
      <c r="A30" s="63" t="n">
        <v>46113</v>
      </c>
      <c r="B30" s="64" t="s">
        <v>149</v>
      </c>
      <c r="C30" s="64" t="s">
        <v>165</v>
      </c>
      <c r="D30" s="64"/>
      <c r="E30" s="64" t="s">
        <v>301</v>
      </c>
      <c r="F30" s="64"/>
      <c r="G30" s="64" t="s">
        <v>288</v>
      </c>
      <c r="H30" s="64" t="n">
        <v>12</v>
      </c>
      <c r="I30" s="64" t="s">
        <v>95</v>
      </c>
      <c r="J30" s="64" t="s">
        <v>151</v>
      </c>
      <c r="K30" s="64" t="s">
        <v>268</v>
      </c>
      <c r="L30" s="64" t="s">
        <v>325</v>
      </c>
      <c r="M30" s="64"/>
      <c r="N30" s="64" t="s">
        <v>271</v>
      </c>
      <c r="O30" s="64"/>
    </row>
    <row r="31" customFormat="false" ht="15" hidden="false" customHeight="true" outlineLevel="0" collapsed="false">
      <c r="A31" s="63" t="n">
        <v>46113</v>
      </c>
      <c r="B31" s="64" t="s">
        <v>326</v>
      </c>
      <c r="C31" s="64" t="s">
        <v>327</v>
      </c>
      <c r="D31" s="64"/>
      <c r="E31" s="64" t="s">
        <v>301</v>
      </c>
      <c r="F31" s="64"/>
      <c r="G31" s="64" t="s">
        <v>288</v>
      </c>
      <c r="H31" s="64" t="n">
        <v>6</v>
      </c>
      <c r="I31" s="64" t="s">
        <v>95</v>
      </c>
      <c r="J31" s="64" t="s">
        <v>328</v>
      </c>
      <c r="K31" s="64" t="s">
        <v>268</v>
      </c>
      <c r="L31" s="64" t="s">
        <v>329</v>
      </c>
      <c r="M31" s="64"/>
      <c r="N31" s="64" t="s">
        <v>271</v>
      </c>
      <c r="O31" s="64"/>
    </row>
    <row r="32" customFormat="false" ht="15" hidden="false" customHeight="true" outlineLevel="0" collapsed="false">
      <c r="A32" s="63" t="n">
        <v>46114</v>
      </c>
      <c r="B32" s="64" t="s">
        <v>107</v>
      </c>
      <c r="C32" s="64" t="s">
        <v>108</v>
      </c>
      <c r="D32" s="64"/>
      <c r="E32" s="64" t="s">
        <v>293</v>
      </c>
      <c r="F32" s="64"/>
      <c r="G32" s="64" t="s">
        <v>288</v>
      </c>
      <c r="H32" s="64" t="n">
        <v>6</v>
      </c>
      <c r="I32" s="64" t="s">
        <v>110</v>
      </c>
      <c r="J32" s="64" t="s">
        <v>109</v>
      </c>
      <c r="K32" s="64" t="s">
        <v>268</v>
      </c>
      <c r="L32" s="64" t="s">
        <v>330</v>
      </c>
      <c r="M32" s="64"/>
      <c r="N32" s="64" t="s">
        <v>198</v>
      </c>
      <c r="O32" s="64"/>
    </row>
    <row r="33" customFormat="false" ht="15" hidden="false" customHeight="true" outlineLevel="0" collapsed="false">
      <c r="A33" s="63" t="n">
        <v>46114</v>
      </c>
      <c r="B33" s="64" t="s">
        <v>107</v>
      </c>
      <c r="C33" s="64" t="s">
        <v>108</v>
      </c>
      <c r="D33" s="64"/>
      <c r="E33" s="64" t="s">
        <v>293</v>
      </c>
      <c r="F33" s="64"/>
      <c r="G33" s="64" t="s">
        <v>288</v>
      </c>
      <c r="H33" s="64" t="n">
        <v>6</v>
      </c>
      <c r="I33" s="64" t="s">
        <v>110</v>
      </c>
      <c r="J33" s="64" t="s">
        <v>109</v>
      </c>
      <c r="K33" s="64" t="s">
        <v>268</v>
      </c>
      <c r="L33" s="64" t="s">
        <v>331</v>
      </c>
      <c r="M33" s="64" t="s">
        <v>296</v>
      </c>
      <c r="N33" s="64" t="s">
        <v>198</v>
      </c>
      <c r="O33" s="63" t="n">
        <v>46085</v>
      </c>
    </row>
    <row r="34" customFormat="false" ht="15" hidden="false" customHeight="true" outlineLevel="0" collapsed="false">
      <c r="A34" s="63" t="n">
        <v>46114</v>
      </c>
      <c r="B34" s="64" t="s">
        <v>107</v>
      </c>
      <c r="C34" s="64" t="s">
        <v>108</v>
      </c>
      <c r="D34" s="64"/>
      <c r="E34" s="64" t="s">
        <v>293</v>
      </c>
      <c r="F34" s="64"/>
      <c r="G34" s="64" t="s">
        <v>288</v>
      </c>
      <c r="H34" s="64" t="n">
        <v>6</v>
      </c>
      <c r="I34" s="64" t="s">
        <v>110</v>
      </c>
      <c r="J34" s="64" t="s">
        <v>109</v>
      </c>
      <c r="K34" s="64" t="s">
        <v>268</v>
      </c>
      <c r="L34" s="64" t="s">
        <v>332</v>
      </c>
      <c r="M34" s="64"/>
      <c r="N34" s="64" t="s">
        <v>333</v>
      </c>
      <c r="O34" s="64"/>
    </row>
    <row r="35" customFormat="false" ht="15" hidden="false" customHeight="true" outlineLevel="0" collapsed="false">
      <c r="A35" s="63" t="n">
        <v>46114</v>
      </c>
      <c r="B35" s="64" t="s">
        <v>107</v>
      </c>
      <c r="C35" s="64" t="s">
        <v>108</v>
      </c>
      <c r="D35" s="64"/>
      <c r="E35" s="64" t="s">
        <v>290</v>
      </c>
      <c r="F35" s="64"/>
      <c r="G35" s="64" t="s">
        <v>288</v>
      </c>
      <c r="H35" s="64" t="n">
        <v>6</v>
      </c>
      <c r="I35" s="64" t="s">
        <v>110</v>
      </c>
      <c r="J35" s="64" t="s">
        <v>109</v>
      </c>
      <c r="K35" s="64" t="s">
        <v>268</v>
      </c>
      <c r="L35" s="64" t="s">
        <v>334</v>
      </c>
      <c r="M35" s="64"/>
      <c r="N35" s="64" t="s">
        <v>271</v>
      </c>
      <c r="O35" s="64"/>
    </row>
    <row r="36" customFormat="false" ht="15" hidden="false" customHeight="true" outlineLevel="0" collapsed="false">
      <c r="A36" s="63" t="n">
        <v>46114</v>
      </c>
      <c r="B36" s="64" t="s">
        <v>112</v>
      </c>
      <c r="C36" s="64" t="s">
        <v>113</v>
      </c>
      <c r="D36" s="64"/>
      <c r="E36" s="64" t="s">
        <v>290</v>
      </c>
      <c r="F36" s="64"/>
      <c r="G36" s="64" t="s">
        <v>288</v>
      </c>
      <c r="H36" s="64"/>
      <c r="I36" s="64" t="s">
        <v>95</v>
      </c>
      <c r="J36" s="64" t="s">
        <v>114</v>
      </c>
      <c r="K36" s="64" t="s">
        <v>267</v>
      </c>
      <c r="L36" s="64" t="s">
        <v>335</v>
      </c>
      <c r="M36" s="64" t="s">
        <v>336</v>
      </c>
      <c r="N36" s="64" t="s">
        <v>333</v>
      </c>
      <c r="O36" s="64"/>
    </row>
    <row r="37" customFormat="false" ht="15" hidden="false" customHeight="true" outlineLevel="0" collapsed="false">
      <c r="A37" s="63" t="n">
        <v>46114</v>
      </c>
      <c r="B37" s="64" t="s">
        <v>112</v>
      </c>
      <c r="C37" s="64" t="s">
        <v>113</v>
      </c>
      <c r="D37" s="64"/>
      <c r="E37" s="64" t="s">
        <v>290</v>
      </c>
      <c r="F37" s="64"/>
      <c r="G37" s="64" t="s">
        <v>288</v>
      </c>
      <c r="H37" s="64"/>
      <c r="I37" s="64" t="s">
        <v>95</v>
      </c>
      <c r="J37" s="64" t="s">
        <v>114</v>
      </c>
      <c r="K37" s="64" t="s">
        <v>267</v>
      </c>
      <c r="L37" s="64" t="s">
        <v>255</v>
      </c>
      <c r="M37" s="64" t="s">
        <v>336</v>
      </c>
      <c r="N37" s="64" t="s">
        <v>333</v>
      </c>
      <c r="O37" s="64"/>
    </row>
    <row r="38" customFormat="false" ht="15" hidden="false" customHeight="true" outlineLevel="0" collapsed="false">
      <c r="A38" s="63" t="n">
        <v>46114</v>
      </c>
      <c r="B38" s="64" t="s">
        <v>112</v>
      </c>
      <c r="C38" s="64" t="s">
        <v>113</v>
      </c>
      <c r="D38" s="64"/>
      <c r="E38" s="64" t="s">
        <v>290</v>
      </c>
      <c r="F38" s="64"/>
      <c r="G38" s="64" t="s">
        <v>288</v>
      </c>
      <c r="H38" s="64"/>
      <c r="I38" s="64" t="s">
        <v>95</v>
      </c>
      <c r="J38" s="64" t="s">
        <v>114</v>
      </c>
      <c r="K38" s="64" t="s">
        <v>267</v>
      </c>
      <c r="L38" s="64" t="s">
        <v>337</v>
      </c>
      <c r="M38" s="64" t="s">
        <v>336</v>
      </c>
      <c r="N38" s="64" t="s">
        <v>333</v>
      </c>
      <c r="O38" s="64"/>
    </row>
    <row r="39" customFormat="false" ht="15" hidden="false" customHeight="true" outlineLevel="0" collapsed="false">
      <c r="A39" s="63" t="n">
        <v>46114</v>
      </c>
      <c r="B39" s="64" t="s">
        <v>112</v>
      </c>
      <c r="C39" s="64" t="s">
        <v>113</v>
      </c>
      <c r="D39" s="64"/>
      <c r="E39" s="64" t="s">
        <v>290</v>
      </c>
      <c r="F39" s="64"/>
      <c r="G39" s="64" t="s">
        <v>288</v>
      </c>
      <c r="H39" s="64"/>
      <c r="I39" s="64" t="s">
        <v>95</v>
      </c>
      <c r="J39" s="64" t="s">
        <v>114</v>
      </c>
      <c r="K39" s="64" t="s">
        <v>267</v>
      </c>
      <c r="L39" s="64" t="s">
        <v>338</v>
      </c>
      <c r="M39" s="64" t="s">
        <v>336</v>
      </c>
      <c r="N39" s="64" t="s">
        <v>333</v>
      </c>
      <c r="O39" s="64"/>
    </row>
    <row r="40" customFormat="false" ht="15" hidden="false" customHeight="true" outlineLevel="0" collapsed="false">
      <c r="A40" s="63" t="n">
        <v>46114</v>
      </c>
      <c r="B40" s="64" t="s">
        <v>112</v>
      </c>
      <c r="C40" s="64" t="s">
        <v>113</v>
      </c>
      <c r="D40" s="64"/>
      <c r="E40" s="64" t="s">
        <v>290</v>
      </c>
      <c r="F40" s="64"/>
      <c r="G40" s="64" t="s">
        <v>288</v>
      </c>
      <c r="H40" s="64"/>
      <c r="I40" s="64" t="s">
        <v>95</v>
      </c>
      <c r="J40" s="64" t="s">
        <v>114</v>
      </c>
      <c r="K40" s="64" t="s">
        <v>267</v>
      </c>
      <c r="L40" s="64" t="s">
        <v>254</v>
      </c>
      <c r="M40" s="64" t="s">
        <v>336</v>
      </c>
      <c r="N40" s="64" t="s">
        <v>198</v>
      </c>
      <c r="O40" s="64"/>
    </row>
    <row r="41" customFormat="false" ht="15" hidden="false" customHeight="true" outlineLevel="0" collapsed="false">
      <c r="A41" s="63" t="n">
        <v>46114</v>
      </c>
      <c r="B41" s="64" t="s">
        <v>116</v>
      </c>
      <c r="C41" s="64" t="s">
        <v>93</v>
      </c>
      <c r="D41" s="64"/>
      <c r="E41" s="64" t="s">
        <v>290</v>
      </c>
      <c r="F41" s="64"/>
      <c r="G41" s="64" t="s">
        <v>288</v>
      </c>
      <c r="H41" s="64" t="n">
        <v>6</v>
      </c>
      <c r="I41" s="64" t="s">
        <v>95</v>
      </c>
      <c r="J41" s="64" t="s">
        <v>99</v>
      </c>
      <c r="K41" s="64" t="s">
        <v>267</v>
      </c>
      <c r="L41" s="64" t="s">
        <v>339</v>
      </c>
      <c r="M41" s="64" t="s">
        <v>296</v>
      </c>
      <c r="N41" s="64" t="s">
        <v>198</v>
      </c>
      <c r="O41" s="63" t="n">
        <v>46115</v>
      </c>
    </row>
    <row r="42" customFormat="false" ht="15" hidden="false" customHeight="true" outlineLevel="0" collapsed="false">
      <c r="A42" s="63" t="n">
        <v>46114</v>
      </c>
      <c r="B42" s="64" t="s">
        <v>116</v>
      </c>
      <c r="C42" s="64" t="s">
        <v>93</v>
      </c>
      <c r="D42" s="64"/>
      <c r="E42" s="64" t="s">
        <v>290</v>
      </c>
      <c r="F42" s="64"/>
      <c r="G42" s="64" t="s">
        <v>288</v>
      </c>
      <c r="H42" s="64" t="n">
        <v>6</v>
      </c>
      <c r="I42" s="64" t="s">
        <v>95</v>
      </c>
      <c r="J42" s="64" t="s">
        <v>99</v>
      </c>
      <c r="K42" s="64" t="s">
        <v>267</v>
      </c>
      <c r="L42" s="64" t="s">
        <v>340</v>
      </c>
      <c r="M42" s="64" t="s">
        <v>296</v>
      </c>
      <c r="N42" s="64" t="s">
        <v>333</v>
      </c>
      <c r="O42" s="63" t="n">
        <v>46115</v>
      </c>
    </row>
    <row r="43" customFormat="false" ht="15" hidden="false" customHeight="true" outlineLevel="0" collapsed="false">
      <c r="A43" s="63" t="n">
        <v>46114</v>
      </c>
      <c r="B43" s="64" t="s">
        <v>116</v>
      </c>
      <c r="C43" s="64" t="s">
        <v>93</v>
      </c>
      <c r="D43" s="64"/>
      <c r="E43" s="64" t="s">
        <v>290</v>
      </c>
      <c r="F43" s="64"/>
      <c r="G43" s="64" t="s">
        <v>288</v>
      </c>
      <c r="H43" s="64" t="n">
        <v>6</v>
      </c>
      <c r="I43" s="64" t="s">
        <v>95</v>
      </c>
      <c r="J43" s="64" t="s">
        <v>99</v>
      </c>
      <c r="K43" s="64" t="s">
        <v>267</v>
      </c>
      <c r="L43" s="64" t="s">
        <v>341</v>
      </c>
      <c r="M43" s="64"/>
      <c r="N43" s="64" t="s">
        <v>333</v>
      </c>
      <c r="O43" s="63" t="n">
        <v>46135</v>
      </c>
    </row>
    <row r="44" customFormat="false" ht="15" hidden="false" customHeight="true" outlineLevel="0" collapsed="false">
      <c r="A44" s="63" t="n">
        <v>46115</v>
      </c>
      <c r="B44" s="64" t="s">
        <v>118</v>
      </c>
      <c r="C44" s="64" t="s">
        <v>119</v>
      </c>
      <c r="D44" s="64"/>
      <c r="E44" s="64" t="s">
        <v>293</v>
      </c>
      <c r="F44" s="64"/>
      <c r="G44" s="64" t="s">
        <v>288</v>
      </c>
      <c r="H44" s="64" t="n">
        <v>6</v>
      </c>
      <c r="I44" s="64" t="s">
        <v>95</v>
      </c>
      <c r="J44" s="64" t="s">
        <v>99</v>
      </c>
      <c r="K44" s="64" t="s">
        <v>268</v>
      </c>
      <c r="L44" s="64" t="s">
        <v>342</v>
      </c>
      <c r="M44" s="64"/>
      <c r="N44" s="64" t="s">
        <v>271</v>
      </c>
      <c r="O44" s="64"/>
    </row>
    <row r="45" customFormat="false" ht="15" hidden="false" customHeight="true" outlineLevel="0" collapsed="false">
      <c r="A45" s="63" t="n">
        <v>46115</v>
      </c>
      <c r="B45" s="64" t="s">
        <v>118</v>
      </c>
      <c r="C45" s="64" t="s">
        <v>119</v>
      </c>
      <c r="D45" s="64"/>
      <c r="E45" s="64" t="s">
        <v>293</v>
      </c>
      <c r="F45" s="64"/>
      <c r="G45" s="64" t="s">
        <v>288</v>
      </c>
      <c r="H45" s="64" t="n">
        <v>6</v>
      </c>
      <c r="I45" s="64" t="s">
        <v>95</v>
      </c>
      <c r="J45" s="64" t="s">
        <v>99</v>
      </c>
      <c r="K45" s="64" t="s">
        <v>268</v>
      </c>
      <c r="L45" s="64" t="s">
        <v>343</v>
      </c>
      <c r="M45" s="64"/>
      <c r="N45" s="64" t="s">
        <v>271</v>
      </c>
      <c r="O45" s="64"/>
    </row>
    <row r="46" customFormat="false" ht="15" hidden="false" customHeight="true" outlineLevel="0" collapsed="false">
      <c r="A46" s="63" t="n">
        <v>46115</v>
      </c>
      <c r="B46" s="64" t="s">
        <v>118</v>
      </c>
      <c r="C46" s="64" t="s">
        <v>119</v>
      </c>
      <c r="D46" s="64"/>
      <c r="E46" s="64" t="s">
        <v>293</v>
      </c>
      <c r="F46" s="64"/>
      <c r="G46" s="64" t="s">
        <v>288</v>
      </c>
      <c r="H46" s="64" t="n">
        <v>6</v>
      </c>
      <c r="I46" s="64" t="s">
        <v>95</v>
      </c>
      <c r="J46" s="64" t="s">
        <v>99</v>
      </c>
      <c r="K46" s="64" t="s">
        <v>268</v>
      </c>
      <c r="L46" s="64" t="s">
        <v>344</v>
      </c>
      <c r="M46" s="64" t="s">
        <v>303</v>
      </c>
      <c r="N46" s="64" t="s">
        <v>199</v>
      </c>
      <c r="O46" s="64" t="s">
        <v>345</v>
      </c>
    </row>
    <row r="47" customFormat="false" ht="15" hidden="false" customHeight="true" outlineLevel="0" collapsed="false">
      <c r="A47" s="63" t="n">
        <v>46115</v>
      </c>
      <c r="B47" s="64" t="s">
        <v>107</v>
      </c>
      <c r="C47" s="64" t="s">
        <v>121</v>
      </c>
      <c r="D47" s="64"/>
      <c r="E47" s="64" t="s">
        <v>346</v>
      </c>
      <c r="F47" s="64"/>
      <c r="G47" s="64" t="s">
        <v>288</v>
      </c>
      <c r="H47" s="64" t="n">
        <v>6</v>
      </c>
      <c r="I47" s="64" t="s">
        <v>110</v>
      </c>
      <c r="J47" s="64" t="s">
        <v>109</v>
      </c>
      <c r="K47" s="64" t="s">
        <v>268</v>
      </c>
      <c r="L47" s="64"/>
      <c r="M47" s="64"/>
      <c r="N47" s="64" t="s">
        <v>333</v>
      </c>
      <c r="O47" s="64"/>
    </row>
    <row r="48" customFormat="false" ht="15" hidden="false" customHeight="true" outlineLevel="0" collapsed="false">
      <c r="A48" s="63" t="n">
        <v>46114</v>
      </c>
      <c r="B48" s="64" t="s">
        <v>118</v>
      </c>
      <c r="C48" s="64" t="s">
        <v>119</v>
      </c>
      <c r="D48" s="64"/>
      <c r="E48" s="64" t="s">
        <v>293</v>
      </c>
      <c r="F48" s="64"/>
      <c r="G48" s="64" t="s">
        <v>288</v>
      </c>
      <c r="H48" s="64" t="n">
        <v>6</v>
      </c>
      <c r="I48" s="64" t="s">
        <v>95</v>
      </c>
      <c r="J48" s="64" t="s">
        <v>99</v>
      </c>
      <c r="K48" s="64" t="s">
        <v>268</v>
      </c>
      <c r="L48" s="64" t="s">
        <v>347</v>
      </c>
      <c r="M48" s="64" t="s">
        <v>296</v>
      </c>
      <c r="N48" s="64" t="s">
        <v>311</v>
      </c>
      <c r="O48" s="63" t="n">
        <v>46085</v>
      </c>
    </row>
    <row r="49" customFormat="false" ht="15" hidden="false" customHeight="true" outlineLevel="0" collapsed="false">
      <c r="A49" s="63" t="n">
        <v>46114</v>
      </c>
      <c r="B49" s="64" t="s">
        <v>118</v>
      </c>
      <c r="C49" s="64" t="s">
        <v>119</v>
      </c>
      <c r="D49" s="64"/>
      <c r="E49" s="64" t="s">
        <v>293</v>
      </c>
      <c r="F49" s="64"/>
      <c r="G49" s="64" t="s">
        <v>288</v>
      </c>
      <c r="H49" s="64" t="n">
        <v>6</v>
      </c>
      <c r="I49" s="64" t="s">
        <v>95</v>
      </c>
      <c r="J49" s="64" t="s">
        <v>99</v>
      </c>
      <c r="K49" s="64" t="s">
        <v>268</v>
      </c>
      <c r="L49" s="64" t="s">
        <v>348</v>
      </c>
      <c r="M49" s="64"/>
      <c r="N49" s="64" t="s">
        <v>271</v>
      </c>
      <c r="O49" s="64"/>
    </row>
    <row r="50" customFormat="false" ht="15" hidden="false" customHeight="true" outlineLevel="0" collapsed="false">
      <c r="A50" s="63" t="n">
        <v>46118</v>
      </c>
      <c r="B50" s="64" t="s">
        <v>127</v>
      </c>
      <c r="C50" s="64" t="s">
        <v>349</v>
      </c>
      <c r="D50" s="64"/>
      <c r="E50" s="64" t="s">
        <v>290</v>
      </c>
      <c r="F50" s="64" t="n">
        <v>150000</v>
      </c>
      <c r="G50" s="64" t="s">
        <v>288</v>
      </c>
      <c r="H50" s="64" t="n">
        <v>6</v>
      </c>
      <c r="I50" s="64" t="s">
        <v>110</v>
      </c>
      <c r="J50" s="64"/>
      <c r="K50" s="64"/>
      <c r="L50" s="64"/>
      <c r="M50" s="64"/>
      <c r="N50" s="64" t="s">
        <v>350</v>
      </c>
      <c r="O50" s="64"/>
    </row>
    <row r="51" customFormat="false" ht="15" hidden="false" customHeight="true" outlineLevel="0" collapsed="false">
      <c r="A51" s="63" t="n">
        <v>46119</v>
      </c>
      <c r="B51" s="64" t="s">
        <v>123</v>
      </c>
      <c r="C51" s="64" t="s">
        <v>124</v>
      </c>
      <c r="D51" s="64"/>
      <c r="E51" s="64" t="s">
        <v>287</v>
      </c>
      <c r="F51" s="64"/>
      <c r="G51" s="64" t="s">
        <v>288</v>
      </c>
      <c r="H51" s="64" t="n">
        <v>6</v>
      </c>
      <c r="I51" s="64" t="s">
        <v>95</v>
      </c>
      <c r="J51" s="64" t="s">
        <v>125</v>
      </c>
      <c r="K51" s="64" t="s">
        <v>268</v>
      </c>
      <c r="L51" s="64" t="s">
        <v>351</v>
      </c>
      <c r="M51" s="64"/>
      <c r="N51" s="64" t="s">
        <v>271</v>
      </c>
      <c r="O51" s="64"/>
    </row>
    <row r="52" customFormat="false" ht="15" hidden="false" customHeight="true" outlineLevel="0" collapsed="false">
      <c r="A52" s="63" t="n">
        <v>46119</v>
      </c>
      <c r="B52" s="64" t="s">
        <v>123</v>
      </c>
      <c r="C52" s="64" t="s">
        <v>124</v>
      </c>
      <c r="D52" s="64"/>
      <c r="E52" s="64" t="s">
        <v>346</v>
      </c>
      <c r="F52" s="64"/>
      <c r="G52" s="64" t="s">
        <v>288</v>
      </c>
      <c r="H52" s="64" t="n">
        <v>6</v>
      </c>
      <c r="I52" s="64" t="s">
        <v>95</v>
      </c>
      <c r="J52" s="64" t="s">
        <v>125</v>
      </c>
      <c r="K52" s="64" t="s">
        <v>268</v>
      </c>
      <c r="L52" s="64" t="s">
        <v>352</v>
      </c>
      <c r="M52" s="64" t="s">
        <v>296</v>
      </c>
      <c r="N52" s="64" t="s">
        <v>353</v>
      </c>
      <c r="O52" s="64" t="s">
        <v>354</v>
      </c>
    </row>
    <row r="53" customFormat="false" ht="15" hidden="false" customHeight="true" outlineLevel="0" collapsed="false">
      <c r="A53" s="63" t="n">
        <v>46121</v>
      </c>
      <c r="B53" s="64" t="s">
        <v>202</v>
      </c>
      <c r="C53" s="64" t="s">
        <v>102</v>
      </c>
      <c r="D53" s="64"/>
      <c r="E53" s="64" t="s">
        <v>293</v>
      </c>
      <c r="F53" s="64"/>
      <c r="G53" s="64" t="s">
        <v>288</v>
      </c>
      <c r="H53" s="64" t="n">
        <v>6</v>
      </c>
      <c r="I53" s="64" t="s">
        <v>95</v>
      </c>
      <c r="J53" s="64" t="s">
        <v>355</v>
      </c>
      <c r="K53" s="64" t="s">
        <v>267</v>
      </c>
      <c r="L53" s="64" t="s">
        <v>250</v>
      </c>
      <c r="M53" s="64"/>
      <c r="N53" s="64" t="s">
        <v>271</v>
      </c>
      <c r="O53" s="64"/>
    </row>
    <row r="54" customFormat="false" ht="15" hidden="false" customHeight="true" outlineLevel="0" collapsed="false">
      <c r="A54" s="63" t="n">
        <v>46121</v>
      </c>
      <c r="B54" s="64" t="s">
        <v>202</v>
      </c>
      <c r="C54" s="64" t="s">
        <v>102</v>
      </c>
      <c r="D54" s="64"/>
      <c r="E54" s="64" t="s">
        <v>293</v>
      </c>
      <c r="F54" s="64"/>
      <c r="G54" s="64" t="s">
        <v>288</v>
      </c>
      <c r="H54" s="64" t="n">
        <v>6</v>
      </c>
      <c r="I54" s="64" t="s">
        <v>95</v>
      </c>
      <c r="J54" s="64" t="s">
        <v>355</v>
      </c>
      <c r="K54" s="64" t="s">
        <v>267</v>
      </c>
      <c r="L54" s="64" t="s">
        <v>356</v>
      </c>
      <c r="M54" s="64"/>
      <c r="N54" s="64" t="s">
        <v>271</v>
      </c>
      <c r="O54" s="64"/>
    </row>
    <row r="55" customFormat="false" ht="15" hidden="false" customHeight="true" outlineLevel="0" collapsed="false">
      <c r="A55" s="63" t="n">
        <v>46121</v>
      </c>
      <c r="B55" s="64" t="s">
        <v>202</v>
      </c>
      <c r="C55" s="64" t="s">
        <v>102</v>
      </c>
      <c r="D55" s="64"/>
      <c r="E55" s="64" t="s">
        <v>293</v>
      </c>
      <c r="F55" s="64"/>
      <c r="G55" s="64" t="s">
        <v>288</v>
      </c>
      <c r="H55" s="64" t="n">
        <v>6</v>
      </c>
      <c r="I55" s="64" t="s">
        <v>95</v>
      </c>
      <c r="J55" s="64" t="s">
        <v>355</v>
      </c>
      <c r="K55" s="64" t="s">
        <v>267</v>
      </c>
      <c r="L55" s="64" t="s">
        <v>357</v>
      </c>
      <c r="M55" s="64"/>
      <c r="N55" s="64" t="s">
        <v>271</v>
      </c>
      <c r="O55" s="64"/>
    </row>
    <row r="56" customFormat="false" ht="15" hidden="false" customHeight="true" outlineLevel="0" collapsed="false">
      <c r="A56" s="63" t="n">
        <v>46121</v>
      </c>
      <c r="B56" s="64" t="s">
        <v>203</v>
      </c>
      <c r="C56" s="64" t="s">
        <v>165</v>
      </c>
      <c r="D56" s="64"/>
      <c r="E56" s="64" t="s">
        <v>358</v>
      </c>
      <c r="F56" s="64" t="n">
        <v>80000</v>
      </c>
      <c r="G56" s="64" t="s">
        <v>288</v>
      </c>
      <c r="H56" s="64" t="n">
        <v>6</v>
      </c>
      <c r="I56" s="64" t="s">
        <v>95</v>
      </c>
      <c r="J56" s="64" t="s">
        <v>99</v>
      </c>
      <c r="K56" s="64" t="s">
        <v>268</v>
      </c>
      <c r="L56" s="64" t="s">
        <v>359</v>
      </c>
      <c r="M56" s="64"/>
      <c r="N56" s="64" t="s">
        <v>271</v>
      </c>
      <c r="O56" s="64"/>
    </row>
    <row r="57" customFormat="false" ht="15" hidden="false" customHeight="true" outlineLevel="0" collapsed="false">
      <c r="A57" s="63" t="n">
        <v>46121</v>
      </c>
      <c r="B57" s="64" t="s">
        <v>203</v>
      </c>
      <c r="C57" s="64" t="s">
        <v>165</v>
      </c>
      <c r="D57" s="64"/>
      <c r="E57" s="64" t="s">
        <v>358</v>
      </c>
      <c r="F57" s="64" t="n">
        <v>80000</v>
      </c>
      <c r="G57" s="64" t="s">
        <v>288</v>
      </c>
      <c r="H57" s="64" t="n">
        <v>6</v>
      </c>
      <c r="I57" s="64" t="s">
        <v>95</v>
      </c>
      <c r="J57" s="64" t="s">
        <v>99</v>
      </c>
      <c r="K57" s="64" t="s">
        <v>268</v>
      </c>
      <c r="L57" s="64" t="s">
        <v>360</v>
      </c>
      <c r="M57" s="64"/>
      <c r="N57" s="64" t="s">
        <v>271</v>
      </c>
      <c r="O57" s="64"/>
    </row>
    <row r="58" customFormat="false" ht="15" hidden="false" customHeight="true" outlineLevel="0" collapsed="false">
      <c r="A58" s="63" t="n">
        <v>46121</v>
      </c>
      <c r="B58" s="64" t="s">
        <v>203</v>
      </c>
      <c r="C58" s="64" t="s">
        <v>165</v>
      </c>
      <c r="D58" s="64"/>
      <c r="E58" s="64" t="s">
        <v>358</v>
      </c>
      <c r="F58" s="64" t="n">
        <v>72000</v>
      </c>
      <c r="G58" s="64" t="s">
        <v>288</v>
      </c>
      <c r="H58" s="64" t="n">
        <v>6</v>
      </c>
      <c r="I58" s="64" t="s">
        <v>95</v>
      </c>
      <c r="J58" s="64" t="s">
        <v>99</v>
      </c>
      <c r="K58" s="64" t="s">
        <v>268</v>
      </c>
      <c r="L58" s="64" t="s">
        <v>361</v>
      </c>
      <c r="M58" s="64"/>
      <c r="N58" s="64" t="s">
        <v>271</v>
      </c>
      <c r="O58" s="64"/>
    </row>
    <row r="59" customFormat="false" ht="15" hidden="false" customHeight="true" outlineLevel="0" collapsed="false">
      <c r="A59" s="63" t="n">
        <v>46122</v>
      </c>
      <c r="B59" s="64" t="s">
        <v>98</v>
      </c>
      <c r="C59" s="64" t="s">
        <v>142</v>
      </c>
      <c r="D59" s="64"/>
      <c r="E59" s="64" t="s">
        <v>290</v>
      </c>
      <c r="F59" s="64" t="n">
        <v>85000</v>
      </c>
      <c r="G59" s="64" t="s">
        <v>288</v>
      </c>
      <c r="H59" s="64" t="n">
        <v>6</v>
      </c>
      <c r="I59" s="64" t="s">
        <v>95</v>
      </c>
      <c r="J59" s="64" t="s">
        <v>99</v>
      </c>
      <c r="K59" s="64" t="s">
        <v>267</v>
      </c>
      <c r="L59" s="64" t="s">
        <v>250</v>
      </c>
      <c r="M59" s="64" t="s">
        <v>296</v>
      </c>
      <c r="N59" s="64" t="s">
        <v>198</v>
      </c>
      <c r="O59" s="64" t="s">
        <v>294</v>
      </c>
    </row>
    <row r="60" customFormat="false" ht="15" hidden="false" customHeight="true" outlineLevel="0" collapsed="false">
      <c r="A60" s="63" t="n">
        <v>46122</v>
      </c>
      <c r="B60" s="64" t="s">
        <v>98</v>
      </c>
      <c r="C60" s="64" t="s">
        <v>142</v>
      </c>
      <c r="D60" s="64"/>
      <c r="E60" s="64" t="s">
        <v>290</v>
      </c>
      <c r="F60" s="64" t="n">
        <v>85000</v>
      </c>
      <c r="G60" s="64" t="s">
        <v>288</v>
      </c>
      <c r="H60" s="64" t="n">
        <v>6</v>
      </c>
      <c r="I60" s="64" t="s">
        <v>95</v>
      </c>
      <c r="J60" s="64" t="s">
        <v>99</v>
      </c>
      <c r="K60" s="64" t="s">
        <v>267</v>
      </c>
      <c r="L60" s="64" t="s">
        <v>356</v>
      </c>
      <c r="M60" s="64"/>
      <c r="N60" s="64" t="s">
        <v>271</v>
      </c>
      <c r="O60" s="64"/>
    </row>
    <row r="61" customFormat="false" ht="15" hidden="false" customHeight="true" outlineLevel="0" collapsed="false">
      <c r="A61" s="63" t="n">
        <v>46122</v>
      </c>
      <c r="B61" s="64" t="s">
        <v>98</v>
      </c>
      <c r="C61" s="64" t="s">
        <v>142</v>
      </c>
      <c r="D61" s="64"/>
      <c r="E61" s="64" t="s">
        <v>290</v>
      </c>
      <c r="F61" s="64" t="n">
        <v>85000</v>
      </c>
      <c r="G61" s="64" t="s">
        <v>288</v>
      </c>
      <c r="H61" s="64" t="n">
        <v>6</v>
      </c>
      <c r="I61" s="64" t="s">
        <v>95</v>
      </c>
      <c r="J61" s="64" t="s">
        <v>99</v>
      </c>
      <c r="K61" s="64" t="s">
        <v>267</v>
      </c>
      <c r="L61" s="64" t="s">
        <v>357</v>
      </c>
      <c r="M61" s="64" t="s">
        <v>296</v>
      </c>
      <c r="N61" s="64" t="s">
        <v>198</v>
      </c>
      <c r="O61" s="64" t="s">
        <v>294</v>
      </c>
    </row>
    <row r="62" customFormat="false" ht="15" hidden="false" customHeight="true" outlineLevel="0" collapsed="false">
      <c r="A62" s="63" t="n">
        <v>46122</v>
      </c>
      <c r="B62" s="64" t="s">
        <v>98</v>
      </c>
      <c r="C62" s="64" t="s">
        <v>142</v>
      </c>
      <c r="D62" s="64"/>
      <c r="E62" s="64" t="s">
        <v>290</v>
      </c>
      <c r="F62" s="64" t="n">
        <v>85000</v>
      </c>
      <c r="G62" s="64" t="s">
        <v>288</v>
      </c>
      <c r="H62" s="64" t="n">
        <v>6</v>
      </c>
      <c r="I62" s="64" t="s">
        <v>95</v>
      </c>
      <c r="J62" s="64" t="s">
        <v>99</v>
      </c>
      <c r="K62" s="64" t="s">
        <v>267</v>
      </c>
      <c r="L62" s="64" t="s">
        <v>362</v>
      </c>
      <c r="M62" s="64"/>
      <c r="N62" s="64" t="s">
        <v>271</v>
      </c>
      <c r="O62" s="64"/>
    </row>
    <row r="63" customFormat="false" ht="15" hidden="false" customHeight="true" outlineLevel="0" collapsed="false">
      <c r="A63" s="63" t="n">
        <v>46121</v>
      </c>
      <c r="B63" s="64" t="s">
        <v>363</v>
      </c>
      <c r="C63" s="64" t="s">
        <v>93</v>
      </c>
      <c r="D63" s="64"/>
      <c r="E63" s="64" t="s">
        <v>293</v>
      </c>
      <c r="F63" s="64"/>
      <c r="G63" s="64" t="s">
        <v>288</v>
      </c>
      <c r="H63" s="64" t="n">
        <v>6</v>
      </c>
      <c r="I63" s="64" t="s">
        <v>95</v>
      </c>
      <c r="J63" s="64"/>
      <c r="K63" s="64" t="s">
        <v>267</v>
      </c>
      <c r="L63" s="64" t="s">
        <v>364</v>
      </c>
      <c r="M63" s="64" t="s">
        <v>310</v>
      </c>
      <c r="N63" s="64" t="s">
        <v>271</v>
      </c>
      <c r="O63" s="64"/>
    </row>
    <row r="64" customFormat="false" ht="15" hidden="false" customHeight="true" outlineLevel="0" collapsed="false">
      <c r="A64" s="63" t="n">
        <v>46121</v>
      </c>
      <c r="B64" s="64" t="s">
        <v>149</v>
      </c>
      <c r="C64" s="64" t="s">
        <v>165</v>
      </c>
      <c r="D64" s="64"/>
      <c r="E64" s="64" t="s">
        <v>287</v>
      </c>
      <c r="F64" s="64"/>
      <c r="G64" s="64" t="s">
        <v>288</v>
      </c>
      <c r="H64" s="64" t="n">
        <v>6</v>
      </c>
      <c r="I64" s="64" t="s">
        <v>95</v>
      </c>
      <c r="J64" s="64" t="s">
        <v>151</v>
      </c>
      <c r="K64" s="64" t="s">
        <v>268</v>
      </c>
      <c r="L64" s="64" t="s">
        <v>365</v>
      </c>
      <c r="M64" s="64"/>
      <c r="N64" s="64" t="s">
        <v>271</v>
      </c>
      <c r="O64" s="64"/>
    </row>
    <row r="65" customFormat="false" ht="15" hidden="false" customHeight="true" outlineLevel="0" collapsed="false">
      <c r="A65" s="63" t="n">
        <v>46121</v>
      </c>
      <c r="B65" s="64" t="s">
        <v>149</v>
      </c>
      <c r="C65" s="64" t="s">
        <v>150</v>
      </c>
      <c r="D65" s="64"/>
      <c r="E65" s="64" t="s">
        <v>287</v>
      </c>
      <c r="F65" s="64"/>
      <c r="G65" s="64" t="s">
        <v>288</v>
      </c>
      <c r="H65" s="64"/>
      <c r="I65" s="64"/>
      <c r="J65" s="64"/>
      <c r="K65" s="64" t="s">
        <v>268</v>
      </c>
      <c r="L65" s="64" t="s">
        <v>366</v>
      </c>
      <c r="M65" s="64" t="s">
        <v>296</v>
      </c>
      <c r="N65" s="64" t="s">
        <v>198</v>
      </c>
      <c r="O65" s="64"/>
    </row>
    <row r="66" customFormat="false" ht="15" hidden="false" customHeight="true" outlineLevel="0" collapsed="false">
      <c r="A66" s="63" t="n">
        <v>46121</v>
      </c>
      <c r="B66" s="64" t="s">
        <v>127</v>
      </c>
      <c r="C66" s="64" t="s">
        <v>308</v>
      </c>
      <c r="D66" s="64"/>
      <c r="E66" s="64" t="s">
        <v>295</v>
      </c>
      <c r="F66" s="64"/>
      <c r="G66" s="64" t="s">
        <v>288</v>
      </c>
      <c r="H66" s="64" t="n">
        <v>6</v>
      </c>
      <c r="I66" s="64" t="s">
        <v>95</v>
      </c>
      <c r="J66" s="64" t="s">
        <v>99</v>
      </c>
      <c r="K66" s="64" t="s">
        <v>268</v>
      </c>
      <c r="L66" s="64" t="s">
        <v>367</v>
      </c>
      <c r="M66" s="64" t="s">
        <v>310</v>
      </c>
      <c r="N66" s="64" t="s">
        <v>198</v>
      </c>
      <c r="O66" s="63" t="n">
        <v>46125</v>
      </c>
    </row>
    <row r="67" customFormat="false" ht="15" hidden="false" customHeight="true" outlineLevel="0" collapsed="false">
      <c r="A67" s="63" t="n">
        <v>46121</v>
      </c>
      <c r="B67" s="64" t="s">
        <v>127</v>
      </c>
      <c r="C67" s="64" t="s">
        <v>308</v>
      </c>
      <c r="D67" s="64"/>
      <c r="E67" s="64" t="s">
        <v>295</v>
      </c>
      <c r="F67" s="64"/>
      <c r="G67" s="64" t="s">
        <v>288</v>
      </c>
      <c r="H67" s="64" t="n">
        <v>6</v>
      </c>
      <c r="I67" s="64" t="s">
        <v>95</v>
      </c>
      <c r="J67" s="64" t="s">
        <v>99</v>
      </c>
      <c r="K67" s="64" t="s">
        <v>268</v>
      </c>
      <c r="L67" s="64" t="s">
        <v>368</v>
      </c>
      <c r="M67" s="64" t="s">
        <v>310</v>
      </c>
      <c r="N67" s="64" t="s">
        <v>311</v>
      </c>
      <c r="O67" s="63" t="n">
        <v>46125</v>
      </c>
    </row>
    <row r="68" customFormat="false" ht="15" hidden="false" customHeight="true" outlineLevel="0" collapsed="false">
      <c r="A68" s="63" t="n">
        <v>46121</v>
      </c>
      <c r="B68" s="64" t="s">
        <v>127</v>
      </c>
      <c r="C68" s="64" t="s">
        <v>128</v>
      </c>
      <c r="D68" s="64"/>
      <c r="E68" s="64" t="s">
        <v>290</v>
      </c>
      <c r="F68" s="64" t="n">
        <v>150000</v>
      </c>
      <c r="G68" s="64" t="s">
        <v>288</v>
      </c>
      <c r="H68" s="64" t="n">
        <v>6</v>
      </c>
      <c r="I68" s="64" t="s">
        <v>110</v>
      </c>
      <c r="J68" s="64"/>
      <c r="K68" s="64" t="s">
        <v>268</v>
      </c>
      <c r="L68" s="64" t="s">
        <v>369</v>
      </c>
      <c r="M68" s="64"/>
      <c r="N68" s="64" t="s">
        <v>311</v>
      </c>
      <c r="O68" s="64" t="s">
        <v>370</v>
      </c>
    </row>
    <row r="69" customFormat="false" ht="15" hidden="false" customHeight="true" outlineLevel="0" collapsed="false">
      <c r="A69" s="63" t="n">
        <v>46121</v>
      </c>
      <c r="B69" s="64" t="s">
        <v>127</v>
      </c>
      <c r="C69" s="64" t="s">
        <v>128</v>
      </c>
      <c r="D69" s="64"/>
      <c r="E69" s="64" t="s">
        <v>290</v>
      </c>
      <c r="F69" s="64" t="n">
        <v>150000</v>
      </c>
      <c r="G69" s="64" t="s">
        <v>288</v>
      </c>
      <c r="H69" s="64" t="n">
        <v>6</v>
      </c>
      <c r="I69" s="64" t="s">
        <v>110</v>
      </c>
      <c r="J69" s="64"/>
      <c r="K69" s="64" t="s">
        <v>268</v>
      </c>
      <c r="L69" s="64" t="s">
        <v>371</v>
      </c>
      <c r="M69" s="64"/>
      <c r="N69" s="64" t="s">
        <v>333</v>
      </c>
      <c r="O69" s="64"/>
    </row>
    <row r="70" customFormat="false" ht="15" hidden="false" customHeight="true" outlineLevel="0" collapsed="false">
      <c r="A70" s="63" t="n">
        <v>46121</v>
      </c>
      <c r="B70" s="64" t="s">
        <v>127</v>
      </c>
      <c r="C70" s="64" t="s">
        <v>128</v>
      </c>
      <c r="D70" s="64"/>
      <c r="E70" s="64" t="s">
        <v>290</v>
      </c>
      <c r="F70" s="64" t="n">
        <v>150000</v>
      </c>
      <c r="G70" s="64" t="s">
        <v>288</v>
      </c>
      <c r="H70" s="64" t="n">
        <v>6</v>
      </c>
      <c r="I70" s="64" t="s">
        <v>110</v>
      </c>
      <c r="J70" s="64"/>
      <c r="K70" s="64" t="s">
        <v>268</v>
      </c>
      <c r="L70" s="64" t="s">
        <v>372</v>
      </c>
      <c r="M70" s="64"/>
      <c r="N70" s="64" t="s">
        <v>198</v>
      </c>
      <c r="O70" s="64" t="s">
        <v>370</v>
      </c>
    </row>
    <row r="71" customFormat="false" ht="15" hidden="false" customHeight="true" outlineLevel="0" collapsed="false">
      <c r="A71" s="63" t="n">
        <v>46125</v>
      </c>
      <c r="B71" s="64" t="s">
        <v>167</v>
      </c>
      <c r="C71" s="64" t="s">
        <v>168</v>
      </c>
      <c r="D71" s="64"/>
      <c r="E71" s="64" t="s">
        <v>290</v>
      </c>
      <c r="F71" s="64" t="n">
        <v>100000</v>
      </c>
      <c r="G71" s="64" t="s">
        <v>288</v>
      </c>
      <c r="H71" s="64" t="n">
        <v>6</v>
      </c>
      <c r="I71" s="64" t="s">
        <v>95</v>
      </c>
      <c r="J71" s="64" t="s">
        <v>114</v>
      </c>
      <c r="K71" s="64" t="s">
        <v>267</v>
      </c>
      <c r="L71" s="64" t="s">
        <v>373</v>
      </c>
      <c r="M71" s="64"/>
      <c r="N71" s="64" t="s">
        <v>61</v>
      </c>
      <c r="O71" s="64" t="s">
        <v>370</v>
      </c>
    </row>
    <row r="72" customFormat="false" ht="15" hidden="false" customHeight="true" outlineLevel="0" collapsed="false">
      <c r="A72" s="63" t="n">
        <v>46125</v>
      </c>
      <c r="B72" s="64" t="s">
        <v>374</v>
      </c>
      <c r="C72" s="64" t="s">
        <v>142</v>
      </c>
      <c r="D72" s="64"/>
      <c r="E72" s="64" t="s">
        <v>293</v>
      </c>
      <c r="F72" s="64"/>
      <c r="G72" s="64" t="s">
        <v>288</v>
      </c>
      <c r="H72" s="64" t="n">
        <v>6</v>
      </c>
      <c r="I72" s="64" t="s">
        <v>375</v>
      </c>
      <c r="J72" s="64" t="s">
        <v>376</v>
      </c>
      <c r="K72" s="64" t="s">
        <v>267</v>
      </c>
      <c r="L72" s="64" t="s">
        <v>250</v>
      </c>
      <c r="M72" s="64"/>
      <c r="N72" s="64" t="s">
        <v>198</v>
      </c>
      <c r="O72" s="64"/>
    </row>
    <row r="73" customFormat="false" ht="15" hidden="false" customHeight="true" outlineLevel="0" collapsed="false">
      <c r="A73" s="63" t="n">
        <v>46125</v>
      </c>
      <c r="B73" s="64" t="s">
        <v>130</v>
      </c>
      <c r="C73" s="64" t="s">
        <v>93</v>
      </c>
      <c r="D73" s="64"/>
      <c r="E73" s="64" t="s">
        <v>293</v>
      </c>
      <c r="F73" s="64"/>
      <c r="G73" s="64" t="s">
        <v>288</v>
      </c>
      <c r="H73" s="64" t="n">
        <v>6</v>
      </c>
      <c r="I73" s="64" t="s">
        <v>95</v>
      </c>
      <c r="J73" s="64" t="s">
        <v>99</v>
      </c>
      <c r="K73" s="64" t="s">
        <v>267</v>
      </c>
      <c r="L73" s="64" t="s">
        <v>251</v>
      </c>
      <c r="M73" s="64" t="s">
        <v>310</v>
      </c>
      <c r="N73" s="64" t="s">
        <v>377</v>
      </c>
      <c r="O73" s="64"/>
    </row>
    <row r="74" customFormat="false" ht="15" hidden="false" customHeight="true" outlineLevel="0" collapsed="false">
      <c r="A74" s="63" t="n">
        <v>46125</v>
      </c>
      <c r="B74" s="64" t="s">
        <v>130</v>
      </c>
      <c r="C74" s="64" t="s">
        <v>93</v>
      </c>
      <c r="D74" s="64"/>
      <c r="E74" s="64" t="s">
        <v>293</v>
      </c>
      <c r="F74" s="64"/>
      <c r="G74" s="64" t="s">
        <v>288</v>
      </c>
      <c r="H74" s="64" t="n">
        <v>6</v>
      </c>
      <c r="I74" s="64" t="s">
        <v>95</v>
      </c>
      <c r="J74" s="64" t="s">
        <v>99</v>
      </c>
      <c r="K74" s="64" t="s">
        <v>267</v>
      </c>
      <c r="L74" s="64" t="s">
        <v>322</v>
      </c>
      <c r="M74" s="64" t="s">
        <v>310</v>
      </c>
      <c r="N74" s="64" t="s">
        <v>198</v>
      </c>
      <c r="O74" s="64" t="s">
        <v>294</v>
      </c>
    </row>
    <row r="75" customFormat="false" ht="15" hidden="false" customHeight="true" outlineLevel="0" collapsed="false">
      <c r="A75" s="63" t="n">
        <v>46125</v>
      </c>
      <c r="B75" s="64" t="s">
        <v>130</v>
      </c>
      <c r="C75" s="64" t="s">
        <v>93</v>
      </c>
      <c r="D75" s="64"/>
      <c r="E75" s="64" t="s">
        <v>293</v>
      </c>
      <c r="F75" s="64"/>
      <c r="G75" s="64" t="s">
        <v>288</v>
      </c>
      <c r="H75" s="64" t="n">
        <v>6</v>
      </c>
      <c r="I75" s="64" t="s">
        <v>95</v>
      </c>
      <c r="J75" s="64" t="s">
        <v>99</v>
      </c>
      <c r="K75" s="64" t="s">
        <v>267</v>
      </c>
      <c r="L75" s="64" t="s">
        <v>378</v>
      </c>
      <c r="M75" s="64" t="s">
        <v>310</v>
      </c>
      <c r="N75" s="64" t="s">
        <v>198</v>
      </c>
      <c r="O75" s="64" t="s">
        <v>294</v>
      </c>
    </row>
    <row r="76" customFormat="false" ht="15" hidden="false" customHeight="true" outlineLevel="0" collapsed="false">
      <c r="A76" s="63" t="n">
        <v>46125</v>
      </c>
      <c r="B76" s="64" t="s">
        <v>130</v>
      </c>
      <c r="C76" s="64" t="s">
        <v>93</v>
      </c>
      <c r="D76" s="64"/>
      <c r="E76" s="64" t="s">
        <v>293</v>
      </c>
      <c r="F76" s="64"/>
      <c r="G76" s="64" t="s">
        <v>288</v>
      </c>
      <c r="H76" s="64" t="n">
        <v>6</v>
      </c>
      <c r="I76" s="64" t="s">
        <v>95</v>
      </c>
      <c r="J76" s="64" t="s">
        <v>99</v>
      </c>
      <c r="K76" s="64" t="s">
        <v>267</v>
      </c>
      <c r="L76" s="64" t="s">
        <v>379</v>
      </c>
      <c r="M76" s="64" t="s">
        <v>310</v>
      </c>
      <c r="N76" s="64" t="s">
        <v>377</v>
      </c>
      <c r="O76" s="64"/>
    </row>
    <row r="77" customFormat="false" ht="15" hidden="false" customHeight="true" outlineLevel="0" collapsed="false">
      <c r="A77" s="63" t="n">
        <v>46120</v>
      </c>
      <c r="B77" s="64" t="s">
        <v>202</v>
      </c>
      <c r="C77" s="64" t="s">
        <v>142</v>
      </c>
      <c r="D77" s="64"/>
      <c r="E77" s="64" t="n">
        <v>5</v>
      </c>
      <c r="F77" s="64" t="n">
        <v>100000</v>
      </c>
      <c r="G77" s="64" t="s">
        <v>288</v>
      </c>
      <c r="H77" s="64" t="n">
        <v>6</v>
      </c>
      <c r="I77" s="64" t="s">
        <v>95</v>
      </c>
      <c r="J77" s="64" t="s">
        <v>355</v>
      </c>
      <c r="K77" s="64" t="s">
        <v>268</v>
      </c>
      <c r="L77" s="64" t="s">
        <v>380</v>
      </c>
      <c r="M77" s="64" t="s">
        <v>310</v>
      </c>
      <c r="N77" s="64" t="s">
        <v>198</v>
      </c>
      <c r="O77" s="63" t="n">
        <v>46125</v>
      </c>
    </row>
    <row r="78" customFormat="false" ht="15" hidden="false" customHeight="true" outlineLevel="0" collapsed="false">
      <c r="A78" s="63" t="n">
        <v>46120</v>
      </c>
      <c r="B78" s="64" t="s">
        <v>202</v>
      </c>
      <c r="C78" s="64" t="s">
        <v>142</v>
      </c>
      <c r="D78" s="64"/>
      <c r="E78" s="64" t="n">
        <v>5</v>
      </c>
      <c r="F78" s="64" t="n">
        <v>100000</v>
      </c>
      <c r="G78" s="64" t="s">
        <v>288</v>
      </c>
      <c r="H78" s="64" t="n">
        <v>6</v>
      </c>
      <c r="I78" s="64" t="s">
        <v>95</v>
      </c>
      <c r="J78" s="64" t="s">
        <v>355</v>
      </c>
      <c r="K78" s="64" t="s">
        <v>268</v>
      </c>
      <c r="L78" s="64" t="s">
        <v>381</v>
      </c>
      <c r="M78" s="64" t="s">
        <v>310</v>
      </c>
      <c r="N78" s="64" t="s">
        <v>198</v>
      </c>
      <c r="O78" s="63" t="n">
        <v>46125</v>
      </c>
    </row>
    <row r="79" customFormat="false" ht="15" hidden="false" customHeight="true" outlineLevel="0" collapsed="false">
      <c r="A79" s="63" t="n">
        <v>46120</v>
      </c>
      <c r="B79" s="64" t="s">
        <v>202</v>
      </c>
      <c r="C79" s="64" t="s">
        <v>142</v>
      </c>
      <c r="D79" s="64"/>
      <c r="E79" s="64" t="s">
        <v>293</v>
      </c>
      <c r="F79" s="64" t="n">
        <v>95000</v>
      </c>
      <c r="G79" s="64" t="s">
        <v>288</v>
      </c>
      <c r="H79" s="64" t="n">
        <v>6</v>
      </c>
      <c r="I79" s="64" t="s">
        <v>95</v>
      </c>
      <c r="J79" s="64" t="s">
        <v>355</v>
      </c>
      <c r="K79" s="64" t="s">
        <v>268</v>
      </c>
      <c r="L79" s="64" t="s">
        <v>382</v>
      </c>
      <c r="M79" s="64" t="s">
        <v>296</v>
      </c>
      <c r="N79" s="64" t="s">
        <v>271</v>
      </c>
      <c r="O79" s="64"/>
    </row>
    <row r="80" customFormat="false" ht="15" hidden="false" customHeight="true" outlineLevel="0" collapsed="false">
      <c r="A80" s="63" t="n">
        <v>46125</v>
      </c>
      <c r="B80" s="64" t="s">
        <v>149</v>
      </c>
      <c r="C80" s="64" t="s">
        <v>150</v>
      </c>
      <c r="D80" s="64"/>
      <c r="E80" s="64" t="s">
        <v>287</v>
      </c>
      <c r="F80" s="64"/>
      <c r="G80" s="64" t="s">
        <v>288</v>
      </c>
      <c r="H80" s="64" t="n">
        <v>6</v>
      </c>
      <c r="I80" s="64" t="s">
        <v>95</v>
      </c>
      <c r="J80" s="64" t="s">
        <v>151</v>
      </c>
      <c r="K80" s="64" t="s">
        <v>268</v>
      </c>
      <c r="L80" s="64" t="s">
        <v>383</v>
      </c>
      <c r="M80" s="64" t="s">
        <v>296</v>
      </c>
      <c r="N80" s="64" t="s">
        <v>198</v>
      </c>
      <c r="O80" s="64" t="s">
        <v>294</v>
      </c>
    </row>
    <row r="81" customFormat="false" ht="15" hidden="false" customHeight="true" outlineLevel="0" collapsed="false">
      <c r="A81" s="63" t="n">
        <v>46125</v>
      </c>
      <c r="B81" s="64" t="s">
        <v>149</v>
      </c>
      <c r="C81" s="64" t="s">
        <v>150</v>
      </c>
      <c r="D81" s="64"/>
      <c r="E81" s="64" t="s">
        <v>287</v>
      </c>
      <c r="F81" s="64"/>
      <c r="G81" s="64" t="s">
        <v>288</v>
      </c>
      <c r="H81" s="64" t="n">
        <v>6</v>
      </c>
      <c r="I81" s="64" t="s">
        <v>95</v>
      </c>
      <c r="J81" s="64" t="s">
        <v>151</v>
      </c>
      <c r="K81" s="64" t="s">
        <v>268</v>
      </c>
      <c r="L81" s="64" t="s">
        <v>384</v>
      </c>
      <c r="M81" s="64" t="s">
        <v>296</v>
      </c>
      <c r="N81" s="64" t="s">
        <v>198</v>
      </c>
      <c r="O81" s="64" t="s">
        <v>294</v>
      </c>
    </row>
    <row r="82" customFormat="false" ht="15" hidden="false" customHeight="true" outlineLevel="0" collapsed="false">
      <c r="A82" s="63" t="n">
        <v>46125</v>
      </c>
      <c r="B82" s="64" t="s">
        <v>149</v>
      </c>
      <c r="C82" s="64" t="s">
        <v>150</v>
      </c>
      <c r="D82" s="64"/>
      <c r="E82" s="64" t="s">
        <v>287</v>
      </c>
      <c r="F82" s="64"/>
      <c r="G82" s="64" t="s">
        <v>288</v>
      </c>
      <c r="H82" s="64" t="n">
        <v>6</v>
      </c>
      <c r="I82" s="64" t="s">
        <v>95</v>
      </c>
      <c r="J82" s="64" t="s">
        <v>151</v>
      </c>
      <c r="K82" s="64" t="s">
        <v>268</v>
      </c>
      <c r="L82" s="64" t="s">
        <v>385</v>
      </c>
      <c r="M82" s="64"/>
      <c r="N82" s="64" t="s">
        <v>198</v>
      </c>
      <c r="O82" s="64"/>
    </row>
    <row r="83" customFormat="false" ht="15" hidden="false" customHeight="true" outlineLevel="0" collapsed="false">
      <c r="A83" s="63" t="n">
        <v>46125</v>
      </c>
      <c r="B83" s="64" t="s">
        <v>203</v>
      </c>
      <c r="C83" s="64" t="s">
        <v>150</v>
      </c>
      <c r="D83" s="64"/>
      <c r="E83" s="64" t="s">
        <v>358</v>
      </c>
      <c r="F83" s="64"/>
      <c r="G83" s="64" t="s">
        <v>288</v>
      </c>
      <c r="H83" s="64" t="n">
        <v>6</v>
      </c>
      <c r="I83" s="64" t="s">
        <v>95</v>
      </c>
      <c r="J83" s="64" t="s">
        <v>99</v>
      </c>
      <c r="K83" s="64" t="s">
        <v>268</v>
      </c>
      <c r="L83" s="64" t="s">
        <v>386</v>
      </c>
      <c r="M83" s="64"/>
      <c r="N83" s="64" t="s">
        <v>271</v>
      </c>
      <c r="O83" s="64"/>
    </row>
    <row r="84" customFormat="false" ht="15" hidden="false" customHeight="true" outlineLevel="0" collapsed="false">
      <c r="A84" s="63" t="n">
        <v>46125</v>
      </c>
      <c r="B84" s="64" t="s">
        <v>203</v>
      </c>
      <c r="C84" s="64" t="s">
        <v>150</v>
      </c>
      <c r="D84" s="64"/>
      <c r="E84" s="64" t="s">
        <v>358</v>
      </c>
      <c r="F84" s="64"/>
      <c r="G84" s="64" t="s">
        <v>288</v>
      </c>
      <c r="H84" s="64" t="n">
        <v>6</v>
      </c>
      <c r="I84" s="64" t="s">
        <v>95</v>
      </c>
      <c r="J84" s="64" t="s">
        <v>99</v>
      </c>
      <c r="K84" s="64" t="s">
        <v>268</v>
      </c>
      <c r="L84" s="64" t="s">
        <v>387</v>
      </c>
      <c r="M84" s="64"/>
      <c r="N84" s="64" t="s">
        <v>271</v>
      </c>
      <c r="O84" s="64"/>
    </row>
    <row r="85" customFormat="false" ht="15" hidden="false" customHeight="true" outlineLevel="0" collapsed="false">
      <c r="A85" s="63" t="n">
        <v>46126</v>
      </c>
      <c r="B85" s="64" t="s">
        <v>98</v>
      </c>
      <c r="C85" s="64" t="s">
        <v>93</v>
      </c>
      <c r="D85" s="64"/>
      <c r="E85" s="64" t="s">
        <v>293</v>
      </c>
      <c r="F85" s="64" t="n">
        <v>95000</v>
      </c>
      <c r="G85" s="64" t="s">
        <v>288</v>
      </c>
      <c r="H85" s="64" t="n">
        <v>6</v>
      </c>
      <c r="I85" s="64" t="s">
        <v>110</v>
      </c>
      <c r="J85" s="64"/>
      <c r="K85" s="64" t="s">
        <v>267</v>
      </c>
      <c r="L85" s="64" t="s">
        <v>251</v>
      </c>
      <c r="M85" s="64" t="s">
        <v>296</v>
      </c>
      <c r="N85" s="64" t="s">
        <v>198</v>
      </c>
      <c r="O85" s="64" t="s">
        <v>388</v>
      </c>
    </row>
    <row r="86" customFormat="false" ht="15" hidden="false" customHeight="true" outlineLevel="0" collapsed="false">
      <c r="A86" s="63" t="n">
        <v>46126</v>
      </c>
      <c r="B86" s="64" t="s">
        <v>98</v>
      </c>
      <c r="C86" s="64" t="s">
        <v>93</v>
      </c>
      <c r="D86" s="64"/>
      <c r="E86" s="64" t="s">
        <v>293</v>
      </c>
      <c r="F86" s="64" t="n">
        <v>95000</v>
      </c>
      <c r="G86" s="64" t="s">
        <v>288</v>
      </c>
      <c r="H86" s="64" t="n">
        <v>6</v>
      </c>
      <c r="I86" s="64" t="s">
        <v>110</v>
      </c>
      <c r="J86" s="64"/>
      <c r="K86" s="64" t="s">
        <v>267</v>
      </c>
      <c r="L86" s="64" t="s">
        <v>257</v>
      </c>
      <c r="M86" s="64" t="s">
        <v>296</v>
      </c>
      <c r="N86" s="64" t="s">
        <v>198</v>
      </c>
      <c r="O86" s="64" t="s">
        <v>388</v>
      </c>
    </row>
    <row r="87" customFormat="false" ht="15" hidden="false" customHeight="true" outlineLevel="0" collapsed="false">
      <c r="A87" s="63" t="n">
        <v>46126</v>
      </c>
      <c r="B87" s="64" t="s">
        <v>144</v>
      </c>
      <c r="C87" s="64" t="s">
        <v>145</v>
      </c>
      <c r="D87" s="64"/>
      <c r="E87" s="64" t="s">
        <v>293</v>
      </c>
      <c r="F87" s="64"/>
      <c r="G87" s="64" t="s">
        <v>288</v>
      </c>
      <c r="H87" s="64" t="n">
        <v>6</v>
      </c>
      <c r="I87" s="64" t="s">
        <v>95</v>
      </c>
      <c r="J87" s="64" t="s">
        <v>146</v>
      </c>
      <c r="K87" s="64" t="s">
        <v>267</v>
      </c>
      <c r="L87" s="64" t="s">
        <v>250</v>
      </c>
      <c r="M87" s="64" t="s">
        <v>296</v>
      </c>
      <c r="N87" s="64" t="s">
        <v>198</v>
      </c>
      <c r="O87" s="64" t="s">
        <v>345</v>
      </c>
    </row>
    <row r="88" customFormat="false" ht="15" hidden="false" customHeight="true" outlineLevel="0" collapsed="false">
      <c r="A88" s="63" t="n">
        <v>46126</v>
      </c>
      <c r="B88" s="64" t="s">
        <v>144</v>
      </c>
      <c r="C88" s="64" t="s">
        <v>145</v>
      </c>
      <c r="D88" s="64"/>
      <c r="E88" s="64" t="s">
        <v>293</v>
      </c>
      <c r="F88" s="64"/>
      <c r="G88" s="64" t="s">
        <v>288</v>
      </c>
      <c r="H88" s="64" t="n">
        <v>6</v>
      </c>
      <c r="I88" s="64" t="s">
        <v>95</v>
      </c>
      <c r="J88" s="64" t="s">
        <v>146</v>
      </c>
      <c r="K88" s="64" t="s">
        <v>267</v>
      </c>
      <c r="L88" s="64" t="s">
        <v>356</v>
      </c>
      <c r="M88" s="64" t="s">
        <v>296</v>
      </c>
      <c r="N88" s="64" t="s">
        <v>198</v>
      </c>
      <c r="O88" s="64" t="s">
        <v>345</v>
      </c>
    </row>
    <row r="89" customFormat="false" ht="15" hidden="false" customHeight="true" outlineLevel="0" collapsed="false">
      <c r="A89" s="63" t="n">
        <v>46126</v>
      </c>
      <c r="B89" s="64" t="s">
        <v>307</v>
      </c>
      <c r="C89" s="64" t="s">
        <v>217</v>
      </c>
      <c r="D89" s="64"/>
      <c r="E89" s="64" t="s">
        <v>295</v>
      </c>
      <c r="F89" s="64" t="s">
        <v>389</v>
      </c>
      <c r="G89" s="64" t="s">
        <v>288</v>
      </c>
      <c r="H89" s="64" t="n">
        <v>6</v>
      </c>
      <c r="I89" s="64" t="s">
        <v>95</v>
      </c>
      <c r="J89" s="64" t="s">
        <v>99</v>
      </c>
      <c r="K89" s="64" t="s">
        <v>268</v>
      </c>
      <c r="L89" s="64" t="s">
        <v>390</v>
      </c>
      <c r="M89" s="64" t="s">
        <v>292</v>
      </c>
      <c r="N89" s="64" t="s">
        <v>198</v>
      </c>
      <c r="O89" s="64" t="s">
        <v>391</v>
      </c>
    </row>
    <row r="90" customFormat="false" ht="15" hidden="false" customHeight="true" outlineLevel="0" collapsed="false">
      <c r="A90" s="63" t="n">
        <v>46126</v>
      </c>
      <c r="B90" s="64" t="s">
        <v>127</v>
      </c>
      <c r="C90" s="64" t="s">
        <v>217</v>
      </c>
      <c r="D90" s="64"/>
      <c r="E90" s="64" t="s">
        <v>295</v>
      </c>
      <c r="F90" s="64" t="s">
        <v>392</v>
      </c>
      <c r="G90" s="64" t="s">
        <v>288</v>
      </c>
      <c r="H90" s="64" t="n">
        <v>6</v>
      </c>
      <c r="I90" s="64" t="s">
        <v>95</v>
      </c>
      <c r="J90" s="64" t="s">
        <v>99</v>
      </c>
      <c r="K90" s="64" t="s">
        <v>268</v>
      </c>
      <c r="L90" s="64" t="s">
        <v>393</v>
      </c>
      <c r="M90" s="64" t="s">
        <v>336</v>
      </c>
      <c r="N90" s="64" t="s">
        <v>198</v>
      </c>
      <c r="O90" s="64" t="s">
        <v>345</v>
      </c>
    </row>
    <row r="91" customFormat="false" ht="15" hidden="false" customHeight="true" outlineLevel="0" collapsed="false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</row>
    <row r="92" customFormat="false" ht="15" hidden="false" customHeight="true" outlineLevel="0" collapsed="false">
      <c r="A92" s="63" t="n">
        <v>46126</v>
      </c>
      <c r="B92" s="64" t="s">
        <v>127</v>
      </c>
      <c r="C92" s="64" t="s">
        <v>217</v>
      </c>
      <c r="D92" s="64"/>
      <c r="E92" s="64" t="s">
        <v>295</v>
      </c>
      <c r="F92" s="64" t="n">
        <v>112000</v>
      </c>
      <c r="G92" s="64" t="s">
        <v>288</v>
      </c>
      <c r="H92" s="64" t="n">
        <v>6</v>
      </c>
      <c r="I92" s="64" t="s">
        <v>95</v>
      </c>
      <c r="J92" s="64" t="s">
        <v>99</v>
      </c>
      <c r="K92" s="64" t="s">
        <v>268</v>
      </c>
      <c r="L92" s="64" t="s">
        <v>394</v>
      </c>
      <c r="M92" s="64" t="s">
        <v>336</v>
      </c>
      <c r="N92" s="64" t="s">
        <v>198</v>
      </c>
      <c r="O92" s="64" t="s">
        <v>345</v>
      </c>
    </row>
    <row r="93" customFormat="false" ht="15" hidden="false" customHeight="true" outlineLevel="0" collapsed="false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</row>
    <row r="94" customFormat="false" ht="15" hidden="false" customHeight="true" outlineLevel="0" collapsed="false">
      <c r="A94" s="63" t="n">
        <v>46126</v>
      </c>
      <c r="B94" s="64" t="s">
        <v>395</v>
      </c>
      <c r="C94" s="64" t="s">
        <v>173</v>
      </c>
      <c r="D94" s="64"/>
      <c r="E94" s="64" t="s">
        <v>287</v>
      </c>
      <c r="F94" s="64"/>
      <c r="G94" s="64" t="s">
        <v>288</v>
      </c>
      <c r="H94" s="64" t="n">
        <v>6</v>
      </c>
      <c r="I94" s="64" t="s">
        <v>95</v>
      </c>
      <c r="J94" s="64" t="s">
        <v>376</v>
      </c>
      <c r="K94" s="64"/>
      <c r="L94" s="64"/>
      <c r="M94" s="64"/>
      <c r="N94" s="64" t="s">
        <v>396</v>
      </c>
      <c r="O94" s="64"/>
    </row>
    <row r="95" customFormat="false" ht="15" hidden="false" customHeight="true" outlineLevel="0" collapsed="false">
      <c r="A95" s="63" t="n">
        <v>46126</v>
      </c>
      <c r="B95" s="64" t="s">
        <v>397</v>
      </c>
      <c r="C95" s="64" t="s">
        <v>398</v>
      </c>
      <c r="D95" s="64"/>
      <c r="E95" s="64" t="s">
        <v>346</v>
      </c>
      <c r="F95" s="64"/>
      <c r="G95" s="64"/>
      <c r="H95" s="64"/>
      <c r="I95" s="64"/>
      <c r="J95" s="64"/>
      <c r="K95" s="64"/>
      <c r="L95" s="64"/>
      <c r="M95" s="64"/>
      <c r="N95" s="64" t="s">
        <v>271</v>
      </c>
      <c r="O95" s="64"/>
    </row>
    <row r="96" customFormat="false" ht="15" hidden="false" customHeight="true" outlineLevel="0" collapsed="false">
      <c r="A96" s="63" t="n">
        <v>46127</v>
      </c>
      <c r="B96" s="64" t="s">
        <v>116</v>
      </c>
      <c r="C96" s="64" t="s">
        <v>93</v>
      </c>
      <c r="D96" s="64"/>
      <c r="E96" s="64" t="s">
        <v>290</v>
      </c>
      <c r="F96" s="64" t="n">
        <v>120000</v>
      </c>
      <c r="G96" s="64" t="s">
        <v>288</v>
      </c>
      <c r="H96" s="64" t="n">
        <v>6</v>
      </c>
      <c r="I96" s="64" t="s">
        <v>95</v>
      </c>
      <c r="J96" s="64" t="s">
        <v>94</v>
      </c>
      <c r="K96" s="64" t="s">
        <v>267</v>
      </c>
      <c r="L96" s="64" t="s">
        <v>252</v>
      </c>
      <c r="M96" s="64"/>
      <c r="N96" s="64" t="s">
        <v>198</v>
      </c>
      <c r="O96" s="64" t="s">
        <v>388</v>
      </c>
    </row>
    <row r="97" customFormat="false" ht="15" hidden="false" customHeight="true" outlineLevel="0" collapsed="false">
      <c r="A97" s="63" t="n">
        <v>46127</v>
      </c>
      <c r="B97" s="64" t="s">
        <v>116</v>
      </c>
      <c r="C97" s="64" t="s">
        <v>93</v>
      </c>
      <c r="D97" s="64"/>
      <c r="E97" s="64" t="s">
        <v>290</v>
      </c>
      <c r="F97" s="64" t="n">
        <v>120000</v>
      </c>
      <c r="G97" s="64" t="s">
        <v>288</v>
      </c>
      <c r="H97" s="64" t="n">
        <v>6</v>
      </c>
      <c r="I97" s="64" t="s">
        <v>95</v>
      </c>
      <c r="J97" s="64" t="s">
        <v>94</v>
      </c>
      <c r="K97" s="64" t="s">
        <v>267</v>
      </c>
      <c r="L97" s="64" t="s">
        <v>399</v>
      </c>
      <c r="M97" s="64"/>
      <c r="N97" s="64" t="s">
        <v>300</v>
      </c>
      <c r="O97" s="64"/>
    </row>
    <row r="98" customFormat="false" ht="15" hidden="false" customHeight="true" outlineLevel="0" collapsed="false">
      <c r="A98" s="63" t="n">
        <v>46127</v>
      </c>
      <c r="B98" s="64" t="s">
        <v>116</v>
      </c>
      <c r="C98" s="64" t="s">
        <v>93</v>
      </c>
      <c r="D98" s="64"/>
      <c r="E98" s="64" t="s">
        <v>290</v>
      </c>
      <c r="F98" s="64" t="n">
        <v>120000</v>
      </c>
      <c r="G98" s="64" t="s">
        <v>288</v>
      </c>
      <c r="H98" s="64" t="n">
        <v>6</v>
      </c>
      <c r="I98" s="64" t="s">
        <v>95</v>
      </c>
      <c r="J98" s="64" t="s">
        <v>94</v>
      </c>
      <c r="K98" s="64" t="s">
        <v>267</v>
      </c>
      <c r="L98" s="64" t="s">
        <v>249</v>
      </c>
      <c r="M98" s="64"/>
      <c r="N98" s="64" t="s">
        <v>199</v>
      </c>
      <c r="O98" s="64" t="s">
        <v>400</v>
      </c>
    </row>
    <row r="99" customFormat="false" ht="15" hidden="false" customHeight="true" outlineLevel="0" collapsed="false">
      <c r="A99" s="63" t="n">
        <v>46127</v>
      </c>
      <c r="B99" s="64" t="s">
        <v>116</v>
      </c>
      <c r="C99" s="64" t="s">
        <v>93</v>
      </c>
      <c r="D99" s="64"/>
      <c r="E99" s="64" t="s">
        <v>290</v>
      </c>
      <c r="F99" s="64" t="n">
        <v>120000</v>
      </c>
      <c r="G99" s="64" t="s">
        <v>288</v>
      </c>
      <c r="H99" s="64" t="n">
        <v>6</v>
      </c>
      <c r="I99" s="64" t="s">
        <v>95</v>
      </c>
      <c r="J99" s="64" t="s">
        <v>94</v>
      </c>
      <c r="K99" s="64" t="s">
        <v>267</v>
      </c>
      <c r="L99" s="64" t="s">
        <v>401</v>
      </c>
      <c r="M99" s="64"/>
      <c r="N99" s="64" t="s">
        <v>300</v>
      </c>
      <c r="O99" s="64"/>
    </row>
    <row r="100" customFormat="false" ht="15" hidden="false" customHeight="true" outlineLevel="0" collapsed="false">
      <c r="A100" s="63" t="n">
        <v>46127</v>
      </c>
      <c r="B100" s="64" t="s">
        <v>397</v>
      </c>
      <c r="C100" s="64" t="s">
        <v>402</v>
      </c>
      <c r="D100" s="64"/>
      <c r="E100" s="64" t="s">
        <v>287</v>
      </c>
      <c r="F100" s="64"/>
      <c r="G100" s="64"/>
      <c r="H100" s="64"/>
      <c r="I100" s="64"/>
      <c r="J100" s="64"/>
      <c r="K100" s="64"/>
      <c r="L100" s="64"/>
      <c r="M100" s="64"/>
      <c r="N100" s="64" t="s">
        <v>271</v>
      </c>
      <c r="O100" s="64"/>
    </row>
    <row r="101" customFormat="false" ht="15" hidden="false" customHeight="true" outlineLevel="0" collapsed="false">
      <c r="A101" s="63" t="n">
        <v>46127</v>
      </c>
      <c r="B101" s="64" t="s">
        <v>204</v>
      </c>
      <c r="C101" s="64" t="s">
        <v>93</v>
      </c>
      <c r="D101" s="64"/>
      <c r="E101" s="64" t="n">
        <v>5</v>
      </c>
      <c r="F101" s="64"/>
      <c r="G101" s="64" t="s">
        <v>288</v>
      </c>
      <c r="H101" s="64" t="n">
        <v>6</v>
      </c>
      <c r="I101" s="64" t="s">
        <v>95</v>
      </c>
      <c r="J101" s="64" t="s">
        <v>99</v>
      </c>
      <c r="K101" s="64" t="s">
        <v>267</v>
      </c>
      <c r="L101" s="64" t="s">
        <v>403</v>
      </c>
      <c r="M101" s="64"/>
      <c r="N101" s="64" t="s">
        <v>271</v>
      </c>
      <c r="O101" s="64"/>
    </row>
    <row r="102" customFormat="false" ht="15" hidden="false" customHeight="true" outlineLevel="0" collapsed="false">
      <c r="A102" s="63" t="n">
        <v>46127</v>
      </c>
      <c r="B102" s="64" t="s">
        <v>204</v>
      </c>
      <c r="C102" s="64" t="s">
        <v>93</v>
      </c>
      <c r="D102" s="64"/>
      <c r="E102" s="64" t="n">
        <v>5</v>
      </c>
      <c r="F102" s="64"/>
      <c r="G102" s="64" t="s">
        <v>288</v>
      </c>
      <c r="H102" s="64" t="n">
        <v>6</v>
      </c>
      <c r="I102" s="64" t="s">
        <v>95</v>
      </c>
      <c r="J102" s="64" t="s">
        <v>99</v>
      </c>
      <c r="K102" s="64" t="s">
        <v>267</v>
      </c>
      <c r="L102" s="64" t="s">
        <v>251</v>
      </c>
      <c r="M102" s="64"/>
      <c r="N102" s="64" t="s">
        <v>271</v>
      </c>
      <c r="O102" s="64"/>
    </row>
    <row r="103" customFormat="false" ht="15" hidden="false" customHeight="true" outlineLevel="0" collapsed="false">
      <c r="A103" s="63" t="n">
        <v>46127</v>
      </c>
      <c r="B103" s="64" t="s">
        <v>204</v>
      </c>
      <c r="C103" s="64" t="s">
        <v>93</v>
      </c>
      <c r="D103" s="64"/>
      <c r="E103" s="64" t="n">
        <v>5</v>
      </c>
      <c r="F103" s="64"/>
      <c r="G103" s="64" t="s">
        <v>288</v>
      </c>
      <c r="H103" s="64" t="n">
        <v>6</v>
      </c>
      <c r="I103" s="64" t="s">
        <v>95</v>
      </c>
      <c r="J103" s="64" t="s">
        <v>99</v>
      </c>
      <c r="K103" s="64" t="s">
        <v>267</v>
      </c>
      <c r="L103" s="64" t="s">
        <v>257</v>
      </c>
      <c r="M103" s="64"/>
      <c r="N103" s="64" t="s">
        <v>271</v>
      </c>
      <c r="O103" s="64"/>
    </row>
    <row r="104" customFormat="false" ht="15" hidden="false" customHeight="true" outlineLevel="0" collapsed="false">
      <c r="A104" s="63" t="n">
        <v>46127</v>
      </c>
      <c r="B104" s="64" t="s">
        <v>149</v>
      </c>
      <c r="C104" s="64" t="s">
        <v>150</v>
      </c>
      <c r="D104" s="64"/>
      <c r="E104" s="64" t="s">
        <v>287</v>
      </c>
      <c r="F104" s="64"/>
      <c r="G104" s="64" t="s">
        <v>288</v>
      </c>
      <c r="H104" s="64" t="n">
        <v>6</v>
      </c>
      <c r="I104" s="64" t="s">
        <v>95</v>
      </c>
      <c r="J104" s="64" t="s">
        <v>151</v>
      </c>
      <c r="K104" s="64" t="s">
        <v>268</v>
      </c>
      <c r="L104" s="64" t="s">
        <v>404</v>
      </c>
      <c r="M104" s="64" t="s">
        <v>296</v>
      </c>
      <c r="N104" s="64" t="s">
        <v>198</v>
      </c>
      <c r="O104" s="64" t="s">
        <v>316</v>
      </c>
    </row>
    <row r="105" customFormat="false" ht="15" hidden="false" customHeight="true" outlineLevel="0" collapsed="false">
      <c r="A105" s="63" t="n">
        <v>46127</v>
      </c>
      <c r="B105" s="64" t="s">
        <v>149</v>
      </c>
      <c r="C105" s="64" t="s">
        <v>150</v>
      </c>
      <c r="D105" s="64"/>
      <c r="E105" s="64" t="s">
        <v>287</v>
      </c>
      <c r="F105" s="64"/>
      <c r="G105" s="64" t="s">
        <v>288</v>
      </c>
      <c r="H105" s="64" t="n">
        <v>6</v>
      </c>
      <c r="I105" s="64" t="s">
        <v>95</v>
      </c>
      <c r="J105" s="64" t="s">
        <v>151</v>
      </c>
      <c r="K105" s="64" t="s">
        <v>268</v>
      </c>
      <c r="L105" s="64" t="s">
        <v>405</v>
      </c>
      <c r="M105" s="64" t="s">
        <v>296</v>
      </c>
      <c r="N105" s="64" t="s">
        <v>198</v>
      </c>
      <c r="O105" s="64" t="s">
        <v>316</v>
      </c>
    </row>
    <row r="106" customFormat="false" ht="15" hidden="false" customHeight="true" outlineLevel="0" collapsed="false">
      <c r="A106" s="63" t="n">
        <v>46127</v>
      </c>
      <c r="B106" s="64" t="s">
        <v>144</v>
      </c>
      <c r="C106" s="64" t="s">
        <v>139</v>
      </c>
      <c r="D106" s="64"/>
      <c r="E106" s="64" t="s">
        <v>290</v>
      </c>
      <c r="F106" s="64"/>
      <c r="G106" s="64" t="s">
        <v>288</v>
      </c>
      <c r="H106" s="64" t="n">
        <v>6</v>
      </c>
      <c r="I106" s="64" t="s">
        <v>95</v>
      </c>
      <c r="J106" s="64" t="s">
        <v>146</v>
      </c>
      <c r="K106" s="64" t="s">
        <v>268</v>
      </c>
      <c r="L106" s="64" t="s">
        <v>406</v>
      </c>
      <c r="M106" s="64" t="s">
        <v>296</v>
      </c>
      <c r="N106" s="64" t="s">
        <v>198</v>
      </c>
      <c r="O106" s="64" t="s">
        <v>388</v>
      </c>
    </row>
    <row r="107" customFormat="false" ht="15" hidden="false" customHeight="true" outlineLevel="0" collapsed="false">
      <c r="A107" s="63" t="n">
        <v>46127</v>
      </c>
      <c r="B107" s="64" t="s">
        <v>144</v>
      </c>
      <c r="C107" s="64" t="s">
        <v>139</v>
      </c>
      <c r="D107" s="64"/>
      <c r="E107" s="64" t="s">
        <v>290</v>
      </c>
      <c r="F107" s="64"/>
      <c r="G107" s="64" t="s">
        <v>288</v>
      </c>
      <c r="H107" s="64" t="n">
        <v>6</v>
      </c>
      <c r="I107" s="64" t="s">
        <v>95</v>
      </c>
      <c r="J107" s="64" t="s">
        <v>146</v>
      </c>
      <c r="K107" s="64" t="s">
        <v>268</v>
      </c>
      <c r="L107" s="64" t="s">
        <v>407</v>
      </c>
      <c r="M107" s="64" t="s">
        <v>296</v>
      </c>
      <c r="N107" s="64" t="s">
        <v>198</v>
      </c>
      <c r="O107" s="64" t="s">
        <v>388</v>
      </c>
    </row>
    <row r="108" customFormat="false" ht="15" hidden="false" customHeight="true" outlineLevel="0" collapsed="false">
      <c r="A108" s="63" t="n">
        <v>46128</v>
      </c>
      <c r="B108" s="64" t="s">
        <v>116</v>
      </c>
      <c r="C108" s="64" t="s">
        <v>136</v>
      </c>
      <c r="D108" s="64"/>
      <c r="E108" s="64" t="s">
        <v>290</v>
      </c>
      <c r="F108" s="64" t="n">
        <v>120000</v>
      </c>
      <c r="G108" s="64" t="s">
        <v>288</v>
      </c>
      <c r="H108" s="64" t="n">
        <v>6</v>
      </c>
      <c r="I108" s="64" t="s">
        <v>95</v>
      </c>
      <c r="J108" s="64" t="s">
        <v>94</v>
      </c>
      <c r="K108" s="64" t="s">
        <v>267</v>
      </c>
      <c r="L108" s="64" t="s">
        <v>262</v>
      </c>
      <c r="M108" s="64"/>
      <c r="N108" s="64" t="s">
        <v>300</v>
      </c>
      <c r="O108" s="64"/>
    </row>
    <row r="109" customFormat="false" ht="15" hidden="false" customHeight="true" outlineLevel="0" collapsed="false">
      <c r="A109" s="63" t="n">
        <v>46128</v>
      </c>
      <c r="B109" s="64" t="s">
        <v>116</v>
      </c>
      <c r="C109" s="64" t="s">
        <v>136</v>
      </c>
      <c r="D109" s="64"/>
      <c r="E109" s="64" t="s">
        <v>290</v>
      </c>
      <c r="F109" s="64" t="n">
        <v>120000</v>
      </c>
      <c r="G109" s="64" t="s">
        <v>288</v>
      </c>
      <c r="H109" s="64" t="n">
        <v>6</v>
      </c>
      <c r="I109" s="64" t="s">
        <v>95</v>
      </c>
      <c r="J109" s="64" t="s">
        <v>94</v>
      </c>
      <c r="K109" s="64" t="s">
        <v>267</v>
      </c>
      <c r="L109" s="64" t="s">
        <v>356</v>
      </c>
      <c r="M109" s="64"/>
      <c r="N109" s="64" t="s">
        <v>300</v>
      </c>
      <c r="O109" s="64"/>
    </row>
    <row r="110" customFormat="false" ht="15" hidden="false" customHeight="true" outlineLevel="0" collapsed="false">
      <c r="A110" s="63" t="n">
        <v>46128</v>
      </c>
      <c r="B110" s="64" t="s">
        <v>116</v>
      </c>
      <c r="C110" s="64" t="s">
        <v>136</v>
      </c>
      <c r="D110" s="64"/>
      <c r="E110" s="64" t="s">
        <v>290</v>
      </c>
      <c r="F110" s="64" t="n">
        <v>120000</v>
      </c>
      <c r="G110" s="64" t="s">
        <v>288</v>
      </c>
      <c r="H110" s="64" t="n">
        <v>6</v>
      </c>
      <c r="I110" s="64" t="s">
        <v>95</v>
      </c>
      <c r="J110" s="64" t="s">
        <v>94</v>
      </c>
      <c r="K110" s="64" t="s">
        <v>267</v>
      </c>
      <c r="L110" s="64" t="s">
        <v>408</v>
      </c>
      <c r="M110" s="64"/>
      <c r="N110" s="64" t="s">
        <v>198</v>
      </c>
      <c r="O110" s="64" t="s">
        <v>298</v>
      </c>
    </row>
    <row r="111" customFormat="false" ht="15" hidden="false" customHeight="true" outlineLevel="0" collapsed="false">
      <c r="A111" s="63" t="n">
        <v>46128</v>
      </c>
      <c r="B111" s="64" t="s">
        <v>116</v>
      </c>
      <c r="C111" s="64" t="s">
        <v>136</v>
      </c>
      <c r="D111" s="64"/>
      <c r="E111" s="64" t="s">
        <v>290</v>
      </c>
      <c r="F111" s="64" t="n">
        <v>120000</v>
      </c>
      <c r="G111" s="64" t="s">
        <v>288</v>
      </c>
      <c r="H111" s="64" t="n">
        <v>6</v>
      </c>
      <c r="I111" s="64" t="s">
        <v>95</v>
      </c>
      <c r="J111" s="64" t="s">
        <v>94</v>
      </c>
      <c r="K111" s="64" t="s">
        <v>267</v>
      </c>
      <c r="L111" s="64" t="s">
        <v>409</v>
      </c>
      <c r="M111" s="64"/>
      <c r="N111" s="64" t="s">
        <v>300</v>
      </c>
      <c r="O111" s="64"/>
    </row>
    <row r="112" customFormat="false" ht="15" hidden="false" customHeight="true" outlineLevel="0" collapsed="false">
      <c r="A112" s="63" t="n">
        <v>46127</v>
      </c>
      <c r="B112" s="64" t="s">
        <v>105</v>
      </c>
      <c r="C112" s="64" t="s">
        <v>93</v>
      </c>
      <c r="D112" s="64"/>
      <c r="E112" s="64" t="s">
        <v>293</v>
      </c>
      <c r="F112" s="64"/>
      <c r="G112" s="64" t="s">
        <v>288</v>
      </c>
      <c r="H112" s="64" t="n">
        <v>6</v>
      </c>
      <c r="I112" s="64" t="s">
        <v>95</v>
      </c>
      <c r="J112" s="64" t="s">
        <v>133</v>
      </c>
      <c r="K112" s="64" t="s">
        <v>267</v>
      </c>
      <c r="L112" s="64" t="s">
        <v>257</v>
      </c>
      <c r="M112" s="64"/>
      <c r="N112" s="64" t="s">
        <v>300</v>
      </c>
      <c r="O112" s="64"/>
    </row>
    <row r="113" customFormat="false" ht="15" hidden="false" customHeight="true" outlineLevel="0" collapsed="false">
      <c r="A113" s="63" t="n">
        <v>46127</v>
      </c>
      <c r="B113" s="64" t="s">
        <v>105</v>
      </c>
      <c r="C113" s="64" t="s">
        <v>93</v>
      </c>
      <c r="D113" s="64"/>
      <c r="E113" s="64" t="s">
        <v>290</v>
      </c>
      <c r="F113" s="64"/>
      <c r="G113" s="64" t="s">
        <v>288</v>
      </c>
      <c r="H113" s="64" t="n">
        <v>6</v>
      </c>
      <c r="I113" s="64" t="s">
        <v>95</v>
      </c>
      <c r="J113" s="64" t="s">
        <v>133</v>
      </c>
      <c r="K113" s="64" t="s">
        <v>267</v>
      </c>
      <c r="L113" s="64" t="s">
        <v>252</v>
      </c>
      <c r="M113" s="64"/>
      <c r="N113" s="64" t="s">
        <v>198</v>
      </c>
      <c r="O113" s="64"/>
    </row>
    <row r="114" customFormat="false" ht="15" hidden="false" customHeight="true" outlineLevel="0" collapsed="false">
      <c r="A114" s="63" t="n">
        <v>46127</v>
      </c>
      <c r="B114" s="64" t="s">
        <v>105</v>
      </c>
      <c r="C114" s="64" t="s">
        <v>93</v>
      </c>
      <c r="D114" s="64"/>
      <c r="E114" s="64" t="s">
        <v>290</v>
      </c>
      <c r="F114" s="64"/>
      <c r="G114" s="64" t="s">
        <v>288</v>
      </c>
      <c r="H114" s="64" t="n">
        <v>6</v>
      </c>
      <c r="I114" s="64" t="s">
        <v>95</v>
      </c>
      <c r="J114" s="64" t="s">
        <v>133</v>
      </c>
      <c r="K114" s="64" t="s">
        <v>267</v>
      </c>
      <c r="L114" s="64" t="s">
        <v>255</v>
      </c>
      <c r="M114" s="64" t="s">
        <v>296</v>
      </c>
      <c r="N114" s="64" t="s">
        <v>317</v>
      </c>
      <c r="O114" s="64" t="s">
        <v>316</v>
      </c>
    </row>
    <row r="115" customFormat="false" ht="15" hidden="false" customHeight="true" outlineLevel="0" collapsed="false">
      <c r="A115" s="63" t="n">
        <v>46127</v>
      </c>
      <c r="B115" s="64" t="s">
        <v>130</v>
      </c>
      <c r="C115" s="64" t="s">
        <v>93</v>
      </c>
      <c r="D115" s="64"/>
      <c r="E115" s="64" t="s">
        <v>293</v>
      </c>
      <c r="F115" s="64"/>
      <c r="G115" s="64" t="s">
        <v>288</v>
      </c>
      <c r="H115" s="64" t="n">
        <v>6</v>
      </c>
      <c r="I115" s="64" t="s">
        <v>95</v>
      </c>
      <c r="J115" s="64" t="s">
        <v>99</v>
      </c>
      <c r="K115" s="64" t="s">
        <v>267</v>
      </c>
      <c r="L115" s="64" t="s">
        <v>410</v>
      </c>
      <c r="M115" s="64" t="s">
        <v>296</v>
      </c>
      <c r="N115" s="64" t="s">
        <v>198</v>
      </c>
      <c r="O115" s="64" t="s">
        <v>388</v>
      </c>
    </row>
    <row r="116" customFormat="false" ht="15" hidden="false" customHeight="true" outlineLevel="0" collapsed="false">
      <c r="A116" s="63" t="n">
        <v>46127</v>
      </c>
      <c r="B116" s="64" t="s">
        <v>130</v>
      </c>
      <c r="C116" s="64" t="s">
        <v>93</v>
      </c>
      <c r="D116" s="64"/>
      <c r="E116" s="64" t="s">
        <v>293</v>
      </c>
      <c r="F116" s="64"/>
      <c r="G116" s="64" t="s">
        <v>288</v>
      </c>
      <c r="H116" s="64" t="n">
        <v>6</v>
      </c>
      <c r="I116" s="64" t="s">
        <v>95</v>
      </c>
      <c r="J116" s="64" t="s">
        <v>99</v>
      </c>
      <c r="K116" s="64" t="s">
        <v>267</v>
      </c>
      <c r="L116" s="64" t="s">
        <v>411</v>
      </c>
      <c r="M116" s="64" t="s">
        <v>296</v>
      </c>
      <c r="N116" s="64" t="s">
        <v>198</v>
      </c>
      <c r="O116" s="64" t="s">
        <v>388</v>
      </c>
    </row>
    <row r="117" customFormat="false" ht="15" hidden="false" customHeight="true" outlineLevel="0" collapsed="false">
      <c r="A117" s="63" t="n">
        <v>46127</v>
      </c>
      <c r="B117" s="64" t="s">
        <v>130</v>
      </c>
      <c r="C117" s="64" t="s">
        <v>93</v>
      </c>
      <c r="D117" s="64"/>
      <c r="E117" s="64" t="s">
        <v>293</v>
      </c>
      <c r="F117" s="64"/>
      <c r="G117" s="64" t="s">
        <v>288</v>
      </c>
      <c r="H117" s="64" t="n">
        <v>6</v>
      </c>
      <c r="I117" s="64" t="s">
        <v>95</v>
      </c>
      <c r="J117" s="64" t="s">
        <v>99</v>
      </c>
      <c r="K117" s="64" t="s">
        <v>267</v>
      </c>
      <c r="L117" s="64" t="s">
        <v>412</v>
      </c>
      <c r="M117" s="64" t="s">
        <v>296</v>
      </c>
      <c r="N117" s="64" t="s">
        <v>198</v>
      </c>
      <c r="O117" s="64" t="s">
        <v>391</v>
      </c>
    </row>
    <row r="118" customFormat="false" ht="15" hidden="false" customHeight="true" outlineLevel="0" collapsed="false">
      <c r="A118" s="63" t="n">
        <v>46127</v>
      </c>
      <c r="B118" s="64" t="s">
        <v>130</v>
      </c>
      <c r="C118" s="64" t="s">
        <v>93</v>
      </c>
      <c r="D118" s="64"/>
      <c r="E118" s="64" t="s">
        <v>293</v>
      </c>
      <c r="F118" s="64"/>
      <c r="G118" s="64" t="s">
        <v>288</v>
      </c>
      <c r="H118" s="64" t="n">
        <v>6</v>
      </c>
      <c r="I118" s="64" t="s">
        <v>95</v>
      </c>
      <c r="J118" s="64" t="s">
        <v>99</v>
      </c>
      <c r="K118" s="64" t="s">
        <v>267</v>
      </c>
      <c r="L118" s="64" t="s">
        <v>413</v>
      </c>
      <c r="M118" s="64" t="s">
        <v>296</v>
      </c>
      <c r="N118" s="64" t="s">
        <v>377</v>
      </c>
      <c r="O118" s="64" t="s">
        <v>391</v>
      </c>
    </row>
    <row r="119" customFormat="false" ht="15" hidden="false" customHeight="true" outlineLevel="0" collapsed="false">
      <c r="A119" s="63" t="n">
        <v>46128</v>
      </c>
      <c r="B119" s="64" t="s">
        <v>138</v>
      </c>
      <c r="C119" s="64" t="s">
        <v>139</v>
      </c>
      <c r="D119" s="64"/>
      <c r="E119" s="64" t="s">
        <v>290</v>
      </c>
      <c r="F119" s="64"/>
      <c r="G119" s="64" t="s">
        <v>288</v>
      </c>
      <c r="H119" s="64" t="n">
        <v>6</v>
      </c>
      <c r="I119" s="64" t="s">
        <v>95</v>
      </c>
      <c r="J119" s="64" t="s">
        <v>114</v>
      </c>
      <c r="K119" s="64" t="s">
        <v>267</v>
      </c>
      <c r="L119" s="64" t="s">
        <v>250</v>
      </c>
      <c r="M119" s="64"/>
      <c r="N119" s="64" t="s">
        <v>300</v>
      </c>
      <c r="O119" s="64"/>
    </row>
    <row r="120" customFormat="false" ht="15" hidden="false" customHeight="true" outlineLevel="0" collapsed="false">
      <c r="A120" s="63" t="n">
        <v>46128</v>
      </c>
      <c r="B120" s="64" t="s">
        <v>138</v>
      </c>
      <c r="C120" s="64" t="s">
        <v>139</v>
      </c>
      <c r="D120" s="64"/>
      <c r="E120" s="64" t="s">
        <v>290</v>
      </c>
      <c r="F120" s="64"/>
      <c r="G120" s="64" t="s">
        <v>288</v>
      </c>
      <c r="H120" s="64" t="n">
        <v>6</v>
      </c>
      <c r="I120" s="64" t="s">
        <v>95</v>
      </c>
      <c r="J120" s="64" t="s">
        <v>114</v>
      </c>
      <c r="K120" s="64" t="s">
        <v>267</v>
      </c>
      <c r="L120" s="64" t="s">
        <v>262</v>
      </c>
      <c r="M120" s="64"/>
      <c r="N120" s="64" t="s">
        <v>300</v>
      </c>
      <c r="O120" s="64"/>
    </row>
    <row r="121" customFormat="false" ht="15" hidden="false" customHeight="true" outlineLevel="0" collapsed="false">
      <c r="A121" s="63" t="n">
        <v>46128</v>
      </c>
      <c r="B121" s="64" t="s">
        <v>138</v>
      </c>
      <c r="C121" s="64" t="s">
        <v>139</v>
      </c>
      <c r="D121" s="64"/>
      <c r="E121" s="64" t="s">
        <v>290</v>
      </c>
      <c r="F121" s="64"/>
      <c r="G121" s="64" t="s">
        <v>288</v>
      </c>
      <c r="H121" s="64" t="n">
        <v>6</v>
      </c>
      <c r="I121" s="64" t="s">
        <v>95</v>
      </c>
      <c r="J121" s="64" t="s">
        <v>114</v>
      </c>
      <c r="K121" s="64" t="s">
        <v>267</v>
      </c>
      <c r="L121" s="64" t="s">
        <v>356</v>
      </c>
      <c r="M121" s="64"/>
      <c r="N121" s="64" t="s">
        <v>300</v>
      </c>
      <c r="O121" s="64"/>
    </row>
    <row r="122" customFormat="false" ht="15" hidden="false" customHeight="true" outlineLevel="0" collapsed="false">
      <c r="A122" s="63" t="n">
        <v>46128</v>
      </c>
      <c r="B122" s="64" t="s">
        <v>138</v>
      </c>
      <c r="C122" s="64" t="s">
        <v>139</v>
      </c>
      <c r="D122" s="64"/>
      <c r="E122" s="64" t="s">
        <v>290</v>
      </c>
      <c r="F122" s="64"/>
      <c r="G122" s="64" t="s">
        <v>288</v>
      </c>
      <c r="H122" s="64" t="n">
        <v>6</v>
      </c>
      <c r="I122" s="64" t="s">
        <v>95</v>
      </c>
      <c r="J122" s="64" t="s">
        <v>114</v>
      </c>
      <c r="K122" s="64" t="s">
        <v>267</v>
      </c>
      <c r="L122" s="64" t="s">
        <v>408</v>
      </c>
      <c r="M122" s="64"/>
      <c r="N122" s="64" t="s">
        <v>300</v>
      </c>
      <c r="O122" s="64"/>
    </row>
    <row r="123" customFormat="false" ht="15" hidden="false" customHeight="true" outlineLevel="0" collapsed="false">
      <c r="A123" s="63" t="n">
        <v>46128</v>
      </c>
      <c r="B123" s="64" t="s">
        <v>205</v>
      </c>
      <c r="C123" s="64" t="s">
        <v>93</v>
      </c>
      <c r="D123" s="64"/>
      <c r="E123" s="64" t="n">
        <v>5</v>
      </c>
      <c r="F123" s="64"/>
      <c r="G123" s="64" t="s">
        <v>288</v>
      </c>
      <c r="H123" s="64" t="n">
        <v>6</v>
      </c>
      <c r="I123" s="64" t="s">
        <v>95</v>
      </c>
      <c r="J123" s="64" t="s">
        <v>114</v>
      </c>
      <c r="K123" s="64" t="s">
        <v>267</v>
      </c>
      <c r="L123" s="64" t="s">
        <v>403</v>
      </c>
      <c r="M123" s="64"/>
      <c r="N123" s="64" t="s">
        <v>271</v>
      </c>
      <c r="O123" s="64"/>
    </row>
    <row r="124" customFormat="false" ht="15" hidden="false" customHeight="true" outlineLevel="0" collapsed="false">
      <c r="A124" s="63" t="n">
        <v>46128</v>
      </c>
      <c r="B124" s="64" t="s">
        <v>205</v>
      </c>
      <c r="C124" s="64" t="s">
        <v>93</v>
      </c>
      <c r="D124" s="64"/>
      <c r="E124" s="64" t="n">
        <v>5</v>
      </c>
      <c r="F124" s="64"/>
      <c r="G124" s="64" t="s">
        <v>288</v>
      </c>
      <c r="H124" s="64" t="n">
        <v>6</v>
      </c>
      <c r="I124" s="64" t="s">
        <v>95</v>
      </c>
      <c r="J124" s="64" t="s">
        <v>114</v>
      </c>
      <c r="K124" s="64" t="s">
        <v>267</v>
      </c>
      <c r="L124" s="64" t="s">
        <v>251</v>
      </c>
      <c r="M124" s="64"/>
      <c r="N124" s="64" t="s">
        <v>271</v>
      </c>
      <c r="O124" s="64"/>
    </row>
    <row r="125" customFormat="false" ht="15" hidden="false" customHeight="true" outlineLevel="0" collapsed="false">
      <c r="A125" s="63" t="n">
        <v>46128</v>
      </c>
      <c r="B125" s="64" t="s">
        <v>205</v>
      </c>
      <c r="C125" s="64" t="s">
        <v>93</v>
      </c>
      <c r="D125" s="64"/>
      <c r="E125" s="64" t="n">
        <v>5</v>
      </c>
      <c r="F125" s="64"/>
      <c r="G125" s="64" t="s">
        <v>288</v>
      </c>
      <c r="H125" s="64" t="n">
        <v>6</v>
      </c>
      <c r="I125" s="64" t="s">
        <v>95</v>
      </c>
      <c r="J125" s="64" t="s">
        <v>114</v>
      </c>
      <c r="K125" s="64" t="s">
        <v>267</v>
      </c>
      <c r="L125" s="64" t="s">
        <v>257</v>
      </c>
      <c r="M125" s="64"/>
      <c r="N125" s="64" t="s">
        <v>271</v>
      </c>
      <c r="O125" s="64"/>
    </row>
    <row r="126" customFormat="false" ht="15" hidden="false" customHeight="true" outlineLevel="0" collapsed="false">
      <c r="A126" s="63" t="n">
        <v>46128</v>
      </c>
      <c r="B126" s="64" t="s">
        <v>141</v>
      </c>
      <c r="C126" s="64" t="s">
        <v>142</v>
      </c>
      <c r="D126" s="64"/>
      <c r="E126" s="64" t="s">
        <v>293</v>
      </c>
      <c r="F126" s="64"/>
      <c r="G126" s="64" t="s">
        <v>288</v>
      </c>
      <c r="H126" s="64" t="n">
        <v>6</v>
      </c>
      <c r="I126" s="64" t="s">
        <v>95</v>
      </c>
      <c r="J126" s="64" t="s">
        <v>99</v>
      </c>
      <c r="K126" s="64" t="s">
        <v>267</v>
      </c>
      <c r="L126" s="64" t="s">
        <v>356</v>
      </c>
      <c r="M126" s="64" t="s">
        <v>296</v>
      </c>
      <c r="N126" s="64" t="s">
        <v>297</v>
      </c>
      <c r="O126" s="64" t="s">
        <v>400</v>
      </c>
    </row>
    <row r="127" customFormat="false" ht="15" hidden="false" customHeight="true" outlineLevel="0" collapsed="false">
      <c r="A127" s="63" t="n">
        <v>46128</v>
      </c>
      <c r="B127" s="64" t="s">
        <v>141</v>
      </c>
      <c r="C127" s="64" t="s">
        <v>142</v>
      </c>
      <c r="D127" s="64"/>
      <c r="E127" s="64" t="s">
        <v>293</v>
      </c>
      <c r="F127" s="64"/>
      <c r="G127" s="64" t="s">
        <v>288</v>
      </c>
      <c r="H127" s="64" t="n">
        <v>6</v>
      </c>
      <c r="I127" s="64" t="s">
        <v>95</v>
      </c>
      <c r="J127" s="64" t="s">
        <v>99</v>
      </c>
      <c r="K127" s="64" t="s">
        <v>267</v>
      </c>
      <c r="L127" s="64" t="s">
        <v>250</v>
      </c>
      <c r="M127" s="64"/>
      <c r="N127" s="64" t="s">
        <v>300</v>
      </c>
      <c r="O127" s="64"/>
    </row>
    <row r="128" customFormat="false" ht="15" hidden="false" customHeight="true" outlineLevel="0" collapsed="false">
      <c r="A128" s="63" t="n">
        <v>46128</v>
      </c>
      <c r="B128" s="64" t="s">
        <v>141</v>
      </c>
      <c r="C128" s="64" t="s">
        <v>142</v>
      </c>
      <c r="D128" s="64"/>
      <c r="E128" s="64" t="s">
        <v>293</v>
      </c>
      <c r="F128" s="64"/>
      <c r="G128" s="64" t="s">
        <v>288</v>
      </c>
      <c r="H128" s="64" t="n">
        <v>6</v>
      </c>
      <c r="I128" s="64" t="s">
        <v>95</v>
      </c>
      <c r="J128" s="64" t="s">
        <v>99</v>
      </c>
      <c r="K128" s="64" t="s">
        <v>267</v>
      </c>
      <c r="L128" s="64" t="s">
        <v>262</v>
      </c>
      <c r="M128" s="64"/>
      <c r="N128" s="64" t="s">
        <v>300</v>
      </c>
      <c r="O128" s="64"/>
    </row>
    <row r="129" customFormat="false" ht="15" hidden="false" customHeight="true" outlineLevel="0" collapsed="false">
      <c r="A129" s="63" t="n">
        <v>46128</v>
      </c>
      <c r="B129" s="64" t="s">
        <v>141</v>
      </c>
      <c r="C129" s="64" t="s">
        <v>142</v>
      </c>
      <c r="D129" s="64"/>
      <c r="E129" s="64" t="s">
        <v>293</v>
      </c>
      <c r="F129" s="64"/>
      <c r="G129" s="64" t="s">
        <v>288</v>
      </c>
      <c r="H129" s="64" t="n">
        <v>6</v>
      </c>
      <c r="I129" s="64" t="s">
        <v>95</v>
      </c>
      <c r="J129" s="64" t="s">
        <v>99</v>
      </c>
      <c r="K129" s="64" t="s">
        <v>267</v>
      </c>
      <c r="L129" s="64" t="s">
        <v>408</v>
      </c>
      <c r="M129" s="64"/>
      <c r="N129" s="64" t="s">
        <v>300</v>
      </c>
      <c r="O129" s="64"/>
    </row>
    <row r="130" customFormat="false" ht="15" hidden="false" customHeight="true" outlineLevel="0" collapsed="false">
      <c r="A130" s="63" t="n">
        <v>46128</v>
      </c>
      <c r="B130" s="64" t="s">
        <v>144</v>
      </c>
      <c r="C130" s="64" t="s">
        <v>145</v>
      </c>
      <c r="D130" s="64"/>
      <c r="E130" s="64" t="s">
        <v>290</v>
      </c>
      <c r="F130" s="64"/>
      <c r="G130" s="64" t="s">
        <v>288</v>
      </c>
      <c r="H130" s="64" t="n">
        <v>6</v>
      </c>
      <c r="I130" s="64" t="s">
        <v>95</v>
      </c>
      <c r="J130" s="64" t="s">
        <v>146</v>
      </c>
      <c r="K130" s="64" t="s">
        <v>268</v>
      </c>
      <c r="L130" s="64" t="s">
        <v>414</v>
      </c>
      <c r="M130" s="64"/>
      <c r="N130" s="64" t="s">
        <v>333</v>
      </c>
      <c r="O130" s="64"/>
    </row>
    <row r="131" customFormat="false" ht="15" hidden="false" customHeight="true" outlineLevel="0" collapsed="false">
      <c r="A131" s="63" t="n">
        <v>46128</v>
      </c>
      <c r="B131" s="64" t="s">
        <v>144</v>
      </c>
      <c r="C131" s="64" t="s">
        <v>145</v>
      </c>
      <c r="D131" s="64"/>
      <c r="E131" s="64" t="s">
        <v>290</v>
      </c>
      <c r="F131" s="64"/>
      <c r="G131" s="64" t="s">
        <v>288</v>
      </c>
      <c r="H131" s="64" t="n">
        <v>6</v>
      </c>
      <c r="I131" s="64" t="s">
        <v>95</v>
      </c>
      <c r="J131" s="64" t="s">
        <v>146</v>
      </c>
      <c r="K131" s="64" t="s">
        <v>268</v>
      </c>
      <c r="L131" s="64" t="s">
        <v>415</v>
      </c>
      <c r="M131" s="64" t="s">
        <v>296</v>
      </c>
      <c r="N131" s="64" t="s">
        <v>271</v>
      </c>
      <c r="O131" s="64" t="s">
        <v>298</v>
      </c>
    </row>
    <row r="132" customFormat="false" ht="15" hidden="false" customHeight="true" outlineLevel="0" collapsed="false">
      <c r="A132" s="63" t="n">
        <v>46128</v>
      </c>
      <c r="B132" s="64" t="s">
        <v>144</v>
      </c>
      <c r="C132" s="64" t="s">
        <v>145</v>
      </c>
      <c r="D132" s="64"/>
      <c r="E132" s="64" t="s">
        <v>290</v>
      </c>
      <c r="F132" s="64"/>
      <c r="G132" s="64" t="s">
        <v>288</v>
      </c>
      <c r="H132" s="64" t="n">
        <v>6</v>
      </c>
      <c r="I132" s="64" t="s">
        <v>95</v>
      </c>
      <c r="J132" s="64" t="s">
        <v>146</v>
      </c>
      <c r="K132" s="64" t="s">
        <v>268</v>
      </c>
      <c r="L132" s="64" t="s">
        <v>416</v>
      </c>
      <c r="M132" s="64" t="s">
        <v>296</v>
      </c>
      <c r="N132" s="64" t="s">
        <v>198</v>
      </c>
      <c r="O132" s="64"/>
    </row>
    <row r="133" customFormat="false" ht="15" hidden="false" customHeight="true" outlineLevel="0" collapsed="false">
      <c r="A133" s="63" t="n">
        <v>46128</v>
      </c>
      <c r="B133" s="64" t="s">
        <v>144</v>
      </c>
      <c r="C133" s="64" t="s">
        <v>145</v>
      </c>
      <c r="D133" s="64"/>
      <c r="E133" s="64" t="s">
        <v>290</v>
      </c>
      <c r="F133" s="64"/>
      <c r="G133" s="64" t="s">
        <v>288</v>
      </c>
      <c r="H133" s="64" t="n">
        <v>6</v>
      </c>
      <c r="I133" s="64" t="s">
        <v>95</v>
      </c>
      <c r="J133" s="64" t="s">
        <v>146</v>
      </c>
      <c r="K133" s="64" t="s">
        <v>268</v>
      </c>
      <c r="L133" s="64" t="s">
        <v>417</v>
      </c>
      <c r="M133" s="64"/>
      <c r="N133" s="64" t="s">
        <v>333</v>
      </c>
      <c r="O133" s="64"/>
    </row>
    <row r="134" customFormat="false" ht="15" hidden="false" customHeight="true" outlineLevel="0" collapsed="false">
      <c r="A134" s="63" t="n">
        <v>46128</v>
      </c>
      <c r="B134" s="64" t="s">
        <v>202</v>
      </c>
      <c r="C134" s="64" t="s">
        <v>418</v>
      </c>
      <c r="D134" s="64"/>
      <c r="E134" s="64" t="s">
        <v>287</v>
      </c>
      <c r="F134" s="64" t="n">
        <v>275000</v>
      </c>
      <c r="G134" s="64" t="s">
        <v>288</v>
      </c>
      <c r="H134" s="64" t="n">
        <v>6</v>
      </c>
      <c r="I134" s="64" t="s">
        <v>110</v>
      </c>
      <c r="J134" s="64"/>
      <c r="K134" s="64"/>
      <c r="L134" s="64" t="s">
        <v>419</v>
      </c>
      <c r="M134" s="64"/>
      <c r="N134" s="64" t="s">
        <v>271</v>
      </c>
      <c r="O134" s="64"/>
    </row>
    <row r="135" customFormat="false" ht="15" hidden="false" customHeight="true" outlineLevel="0" collapsed="false">
      <c r="A135" s="63" t="n">
        <v>46128</v>
      </c>
      <c r="B135" s="64" t="s">
        <v>202</v>
      </c>
      <c r="C135" s="64" t="s">
        <v>217</v>
      </c>
      <c r="D135" s="64"/>
      <c r="E135" s="64" t="s">
        <v>287</v>
      </c>
      <c r="F135" s="64"/>
      <c r="G135" s="64" t="s">
        <v>288</v>
      </c>
      <c r="H135" s="64" t="n">
        <v>6</v>
      </c>
      <c r="I135" s="64"/>
      <c r="J135" s="64" t="s">
        <v>99</v>
      </c>
      <c r="K135" s="64"/>
      <c r="L135" s="64"/>
      <c r="M135" s="64"/>
      <c r="N135" s="64" t="s">
        <v>271</v>
      </c>
      <c r="O135" s="64"/>
    </row>
    <row r="136" customFormat="false" ht="15" hidden="false" customHeight="true" outlineLevel="0" collapsed="false">
      <c r="A136" s="63" t="n">
        <v>46129</v>
      </c>
      <c r="B136" s="64" t="s">
        <v>116</v>
      </c>
      <c r="C136" s="64" t="s">
        <v>113</v>
      </c>
      <c r="D136" s="64"/>
      <c r="E136" s="64" t="s">
        <v>290</v>
      </c>
      <c r="F136" s="64" t="n">
        <v>120000</v>
      </c>
      <c r="G136" s="64" t="s">
        <v>288</v>
      </c>
      <c r="H136" s="64" t="n">
        <v>6</v>
      </c>
      <c r="I136" s="64" t="s">
        <v>95</v>
      </c>
      <c r="J136" s="64" t="s">
        <v>94</v>
      </c>
      <c r="K136" s="64" t="s">
        <v>267</v>
      </c>
      <c r="L136" s="64" t="s">
        <v>257</v>
      </c>
      <c r="M136" s="64"/>
      <c r="N136" s="64" t="s">
        <v>353</v>
      </c>
      <c r="O136" s="64" t="s">
        <v>391</v>
      </c>
    </row>
    <row r="137" customFormat="false" ht="15" hidden="false" customHeight="true" outlineLevel="0" collapsed="false">
      <c r="A137" s="63" t="n">
        <v>46129</v>
      </c>
      <c r="B137" s="64" t="s">
        <v>116</v>
      </c>
      <c r="C137" s="64" t="s">
        <v>113</v>
      </c>
      <c r="D137" s="64"/>
      <c r="E137" s="64" t="s">
        <v>290</v>
      </c>
      <c r="F137" s="64" t="n">
        <v>120000</v>
      </c>
      <c r="G137" s="64" t="s">
        <v>288</v>
      </c>
      <c r="H137" s="64" t="n">
        <v>6</v>
      </c>
      <c r="I137" s="64" t="s">
        <v>95</v>
      </c>
      <c r="J137" s="64" t="s">
        <v>94</v>
      </c>
      <c r="K137" s="64" t="s">
        <v>267</v>
      </c>
      <c r="L137" s="64" t="s">
        <v>255</v>
      </c>
      <c r="M137" s="64"/>
      <c r="N137" s="64" t="s">
        <v>300</v>
      </c>
      <c r="O137" s="64"/>
    </row>
    <row r="138" customFormat="false" ht="15" hidden="false" customHeight="true" outlineLevel="0" collapsed="false">
      <c r="A138" s="63" t="n">
        <v>46129</v>
      </c>
      <c r="B138" s="64" t="s">
        <v>144</v>
      </c>
      <c r="C138" s="64" t="s">
        <v>145</v>
      </c>
      <c r="D138" s="64"/>
      <c r="E138" s="64" t="s">
        <v>290</v>
      </c>
      <c r="F138" s="64"/>
      <c r="G138" s="64" t="s">
        <v>288</v>
      </c>
      <c r="H138" s="64" t="n">
        <v>6</v>
      </c>
      <c r="I138" s="64" t="s">
        <v>95</v>
      </c>
      <c r="J138" s="64" t="s">
        <v>146</v>
      </c>
      <c r="K138" s="64" t="s">
        <v>268</v>
      </c>
      <c r="L138" s="64" t="s">
        <v>420</v>
      </c>
      <c r="M138" s="64" t="s">
        <v>296</v>
      </c>
      <c r="N138" s="64" t="s">
        <v>198</v>
      </c>
      <c r="O138" s="64" t="s">
        <v>421</v>
      </c>
    </row>
    <row r="139" customFormat="false" ht="15" hidden="false" customHeight="true" outlineLevel="0" collapsed="false">
      <c r="A139" s="63" t="n">
        <v>46129</v>
      </c>
      <c r="B139" s="64" t="s">
        <v>144</v>
      </c>
      <c r="C139" s="64" t="s">
        <v>145</v>
      </c>
      <c r="D139" s="64"/>
      <c r="E139" s="64" t="s">
        <v>290</v>
      </c>
      <c r="F139" s="64"/>
      <c r="G139" s="64" t="s">
        <v>288</v>
      </c>
      <c r="H139" s="64" t="n">
        <v>6</v>
      </c>
      <c r="I139" s="64" t="s">
        <v>95</v>
      </c>
      <c r="J139" s="64" t="s">
        <v>146</v>
      </c>
      <c r="K139" s="64" t="s">
        <v>268</v>
      </c>
      <c r="L139" s="64" t="s">
        <v>422</v>
      </c>
      <c r="M139" s="64" t="s">
        <v>296</v>
      </c>
      <c r="N139" s="64" t="s">
        <v>198</v>
      </c>
      <c r="O139" s="64" t="s">
        <v>421</v>
      </c>
    </row>
    <row r="140" customFormat="false" ht="15" hidden="false" customHeight="true" outlineLevel="0" collapsed="false">
      <c r="A140" s="63" t="n">
        <v>46129</v>
      </c>
      <c r="B140" s="64" t="s">
        <v>144</v>
      </c>
      <c r="C140" s="64" t="s">
        <v>145</v>
      </c>
      <c r="D140" s="64"/>
      <c r="E140" s="64" t="s">
        <v>290</v>
      </c>
      <c r="F140" s="64"/>
      <c r="G140" s="64" t="s">
        <v>288</v>
      </c>
      <c r="H140" s="64" t="n">
        <v>6</v>
      </c>
      <c r="I140" s="64" t="s">
        <v>95</v>
      </c>
      <c r="J140" s="64" t="s">
        <v>146</v>
      </c>
      <c r="K140" s="64" t="s">
        <v>268</v>
      </c>
      <c r="L140" s="64" t="s">
        <v>423</v>
      </c>
      <c r="M140" s="64"/>
      <c r="N140" s="64" t="s">
        <v>271</v>
      </c>
      <c r="O140" s="64"/>
    </row>
    <row r="141" customFormat="false" ht="15" hidden="false" customHeight="true" outlineLevel="0" collapsed="false">
      <c r="A141" s="63" t="n">
        <v>46129</v>
      </c>
      <c r="B141" s="64" t="s">
        <v>149</v>
      </c>
      <c r="C141" s="64" t="s">
        <v>150</v>
      </c>
      <c r="D141" s="64"/>
      <c r="E141" s="64" t="s">
        <v>287</v>
      </c>
      <c r="F141" s="64"/>
      <c r="G141" s="64" t="s">
        <v>288</v>
      </c>
      <c r="H141" s="64" t="n">
        <v>6</v>
      </c>
      <c r="I141" s="64" t="s">
        <v>95</v>
      </c>
      <c r="J141" s="64" t="s">
        <v>151</v>
      </c>
      <c r="K141" s="64" t="s">
        <v>268</v>
      </c>
      <c r="L141" s="64" t="s">
        <v>424</v>
      </c>
      <c r="M141" s="64" t="s">
        <v>296</v>
      </c>
      <c r="N141" s="64" t="s">
        <v>297</v>
      </c>
      <c r="O141" s="64" t="s">
        <v>354</v>
      </c>
    </row>
    <row r="142" customFormat="false" ht="15" hidden="false" customHeight="true" outlineLevel="0" collapsed="false">
      <c r="A142" s="63" t="n">
        <v>46132</v>
      </c>
      <c r="B142" s="64" t="s">
        <v>152</v>
      </c>
      <c r="C142" s="64" t="s">
        <v>153</v>
      </c>
      <c r="D142" s="64"/>
      <c r="E142" s="64" t="s">
        <v>293</v>
      </c>
      <c r="F142" s="64" t="n">
        <v>120000</v>
      </c>
      <c r="G142" s="64" t="s">
        <v>288</v>
      </c>
      <c r="H142" s="64" t="n">
        <v>6</v>
      </c>
      <c r="I142" s="64" t="s">
        <v>95</v>
      </c>
      <c r="J142" s="64" t="s">
        <v>99</v>
      </c>
      <c r="K142" s="64" t="s">
        <v>268</v>
      </c>
      <c r="L142" s="64" t="s">
        <v>425</v>
      </c>
      <c r="M142" s="64"/>
      <c r="N142" s="64" t="s">
        <v>333</v>
      </c>
      <c r="O142" s="64"/>
    </row>
    <row r="143" customFormat="false" ht="15" hidden="false" customHeight="true" outlineLevel="0" collapsed="false">
      <c r="A143" s="63" t="n">
        <v>46132</v>
      </c>
      <c r="B143" s="64" t="s">
        <v>152</v>
      </c>
      <c r="C143" s="64" t="s">
        <v>153</v>
      </c>
      <c r="D143" s="64"/>
      <c r="E143" s="64" t="s">
        <v>293</v>
      </c>
      <c r="F143" s="64" t="n">
        <v>120000</v>
      </c>
      <c r="G143" s="64" t="s">
        <v>288</v>
      </c>
      <c r="H143" s="64" t="n">
        <v>6</v>
      </c>
      <c r="I143" s="64" t="s">
        <v>95</v>
      </c>
      <c r="J143" s="64" t="s">
        <v>99</v>
      </c>
      <c r="K143" s="64" t="s">
        <v>268</v>
      </c>
      <c r="L143" s="64" t="s">
        <v>426</v>
      </c>
      <c r="M143" s="64"/>
      <c r="N143" s="64" t="s">
        <v>198</v>
      </c>
      <c r="O143" s="64"/>
    </row>
    <row r="144" customFormat="false" ht="15" hidden="false" customHeight="true" outlineLevel="0" collapsed="false">
      <c r="A144" s="63" t="n">
        <v>46132</v>
      </c>
      <c r="B144" s="64" t="s">
        <v>152</v>
      </c>
      <c r="C144" s="64" t="s">
        <v>153</v>
      </c>
      <c r="D144" s="64"/>
      <c r="E144" s="64" t="s">
        <v>293</v>
      </c>
      <c r="F144" s="64" t="n">
        <v>142000</v>
      </c>
      <c r="G144" s="64" t="s">
        <v>288</v>
      </c>
      <c r="H144" s="64" t="n">
        <v>6</v>
      </c>
      <c r="I144" s="64" t="s">
        <v>95</v>
      </c>
      <c r="J144" s="64" t="s">
        <v>99</v>
      </c>
      <c r="K144" s="64" t="s">
        <v>268</v>
      </c>
      <c r="L144" s="64" t="s">
        <v>427</v>
      </c>
      <c r="M144" s="64"/>
      <c r="N144" s="64" t="s">
        <v>300</v>
      </c>
      <c r="O144" s="64"/>
    </row>
    <row r="145" customFormat="false" ht="15" hidden="false" customHeight="true" outlineLevel="0" collapsed="false">
      <c r="A145" s="63" t="n">
        <v>46132</v>
      </c>
      <c r="B145" s="64" t="s">
        <v>204</v>
      </c>
      <c r="C145" s="64" t="s">
        <v>102</v>
      </c>
      <c r="D145" s="64"/>
      <c r="E145" s="64" t="s">
        <v>293</v>
      </c>
      <c r="F145" s="64"/>
      <c r="G145" s="64" t="s">
        <v>288</v>
      </c>
      <c r="H145" s="64" t="n">
        <v>6</v>
      </c>
      <c r="I145" s="64" t="s">
        <v>95</v>
      </c>
      <c r="J145" s="64" t="s">
        <v>99</v>
      </c>
      <c r="K145" s="64" t="s">
        <v>267</v>
      </c>
      <c r="L145" s="64" t="s">
        <v>249</v>
      </c>
      <c r="M145" s="64" t="s">
        <v>310</v>
      </c>
      <c r="N145" s="64" t="s">
        <v>198</v>
      </c>
      <c r="O145" s="64" t="s">
        <v>400</v>
      </c>
    </row>
    <row r="146" customFormat="false" ht="15" hidden="false" customHeight="true" outlineLevel="0" collapsed="false">
      <c r="A146" s="63" t="n">
        <v>46132</v>
      </c>
      <c r="B146" s="64" t="s">
        <v>105</v>
      </c>
      <c r="C146" s="64" t="s">
        <v>93</v>
      </c>
      <c r="D146" s="64"/>
      <c r="E146" s="64" t="s">
        <v>290</v>
      </c>
      <c r="F146" s="64"/>
      <c r="G146" s="64" t="s">
        <v>288</v>
      </c>
      <c r="H146" s="64" t="n">
        <v>6</v>
      </c>
      <c r="I146" s="64" t="s">
        <v>95</v>
      </c>
      <c r="J146" s="64" t="s">
        <v>133</v>
      </c>
      <c r="K146" s="64" t="s">
        <v>267</v>
      </c>
      <c r="L146" s="64" t="s">
        <v>428</v>
      </c>
      <c r="M146" s="64" t="s">
        <v>296</v>
      </c>
      <c r="N146" s="64" t="s">
        <v>198</v>
      </c>
      <c r="O146" s="64" t="s">
        <v>316</v>
      </c>
    </row>
    <row r="147" customFormat="false" ht="15" hidden="false" customHeight="true" outlineLevel="0" collapsed="false">
      <c r="A147" s="63" t="n">
        <v>46132</v>
      </c>
      <c r="B147" s="64" t="s">
        <v>160</v>
      </c>
      <c r="C147" s="64" t="s">
        <v>161</v>
      </c>
      <c r="D147" s="64"/>
      <c r="E147" s="64" t="s">
        <v>290</v>
      </c>
      <c r="F147" s="64"/>
      <c r="G147" s="64" t="s">
        <v>288</v>
      </c>
      <c r="H147" s="64" t="n">
        <v>6</v>
      </c>
      <c r="I147" s="64" t="s">
        <v>95</v>
      </c>
      <c r="J147" s="64" t="s">
        <v>99</v>
      </c>
      <c r="K147" s="64" t="s">
        <v>268</v>
      </c>
      <c r="L147" s="64" t="s">
        <v>429</v>
      </c>
      <c r="M147" s="64"/>
      <c r="N147" s="64" t="s">
        <v>198</v>
      </c>
      <c r="O147" s="64"/>
    </row>
    <row r="148" customFormat="false" ht="15" hidden="false" customHeight="true" outlineLevel="0" collapsed="false">
      <c r="A148" s="63" t="n">
        <v>46132</v>
      </c>
      <c r="B148" s="64" t="s">
        <v>144</v>
      </c>
      <c r="C148" s="64" t="s">
        <v>145</v>
      </c>
      <c r="D148" s="64"/>
      <c r="E148" s="64" t="s">
        <v>290</v>
      </c>
      <c r="F148" s="64"/>
      <c r="G148" s="64" t="s">
        <v>288</v>
      </c>
      <c r="H148" s="64" t="n">
        <v>6</v>
      </c>
      <c r="I148" s="64" t="s">
        <v>95</v>
      </c>
      <c r="J148" s="64" t="s">
        <v>146</v>
      </c>
      <c r="K148" s="64" t="s">
        <v>268</v>
      </c>
      <c r="L148" s="64" t="s">
        <v>430</v>
      </c>
      <c r="M148" s="64"/>
      <c r="N148" s="64" t="s">
        <v>271</v>
      </c>
      <c r="O148" s="64"/>
    </row>
    <row r="149" customFormat="false" ht="15" hidden="false" customHeight="true" outlineLevel="0" collapsed="false">
      <c r="A149" s="63" t="n">
        <v>46132</v>
      </c>
      <c r="B149" s="64" t="s">
        <v>144</v>
      </c>
      <c r="C149" s="64" t="s">
        <v>145</v>
      </c>
      <c r="D149" s="64"/>
      <c r="E149" s="64" t="s">
        <v>290</v>
      </c>
      <c r="F149" s="64"/>
      <c r="G149" s="64" t="s">
        <v>288</v>
      </c>
      <c r="H149" s="64" t="n">
        <v>6</v>
      </c>
      <c r="I149" s="64" t="s">
        <v>95</v>
      </c>
      <c r="J149" s="64" t="s">
        <v>146</v>
      </c>
      <c r="K149" s="64" t="s">
        <v>268</v>
      </c>
      <c r="L149" s="64" t="s">
        <v>431</v>
      </c>
      <c r="M149" s="64"/>
      <c r="N149" s="64" t="s">
        <v>271</v>
      </c>
      <c r="O149" s="64"/>
    </row>
    <row r="150" customFormat="false" ht="15" hidden="false" customHeight="true" outlineLevel="0" collapsed="false">
      <c r="A150" s="63" t="n">
        <v>46133</v>
      </c>
      <c r="B150" s="64" t="s">
        <v>112</v>
      </c>
      <c r="C150" s="64" t="s">
        <v>155</v>
      </c>
      <c r="D150" s="64"/>
      <c r="E150" s="64" t="s">
        <v>290</v>
      </c>
      <c r="F150" s="64" t="n">
        <v>110000</v>
      </c>
      <c r="G150" s="64" t="s">
        <v>288</v>
      </c>
      <c r="H150" s="64" t="n">
        <v>6</v>
      </c>
      <c r="I150" s="64" t="s">
        <v>95</v>
      </c>
      <c r="J150" s="64" t="s">
        <v>99</v>
      </c>
      <c r="K150" s="64" t="s">
        <v>267</v>
      </c>
      <c r="L150" s="64" t="s">
        <v>432</v>
      </c>
      <c r="M150" s="64"/>
      <c r="N150" s="64" t="s">
        <v>300</v>
      </c>
      <c r="O150" s="64"/>
    </row>
    <row r="151" customFormat="false" ht="15" hidden="false" customHeight="true" outlineLevel="0" collapsed="false">
      <c r="A151" s="63" t="n">
        <v>46133</v>
      </c>
      <c r="B151" s="64" t="s">
        <v>105</v>
      </c>
      <c r="C151" s="64" t="s">
        <v>93</v>
      </c>
      <c r="D151" s="64"/>
      <c r="E151" s="64" t="s">
        <v>290</v>
      </c>
      <c r="F151" s="64"/>
      <c r="G151" s="64" t="s">
        <v>288</v>
      </c>
      <c r="H151" s="64" t="n">
        <v>6</v>
      </c>
      <c r="I151" s="64" t="s">
        <v>95</v>
      </c>
      <c r="J151" s="64" t="s">
        <v>133</v>
      </c>
      <c r="K151" s="64"/>
      <c r="L151" s="64" t="s">
        <v>263</v>
      </c>
      <c r="M151" s="64"/>
      <c r="N151" s="64"/>
      <c r="O151" s="64"/>
    </row>
    <row r="152" customFormat="false" ht="15" hidden="false" customHeight="true" outlineLevel="0" collapsed="false">
      <c r="A152" s="63" t="n">
        <v>46133</v>
      </c>
      <c r="B152" s="64" t="s">
        <v>105</v>
      </c>
      <c r="C152" s="64" t="s">
        <v>93</v>
      </c>
      <c r="D152" s="64"/>
      <c r="E152" s="64" t="s">
        <v>290</v>
      </c>
      <c r="F152" s="64"/>
      <c r="G152" s="64" t="s">
        <v>288</v>
      </c>
      <c r="H152" s="64" t="n">
        <v>6</v>
      </c>
      <c r="I152" s="64" t="s">
        <v>95</v>
      </c>
      <c r="J152" s="64" t="s">
        <v>433</v>
      </c>
      <c r="K152" s="64"/>
      <c r="L152" s="64" t="s">
        <v>434</v>
      </c>
      <c r="M152" s="64"/>
      <c r="N152" s="64"/>
      <c r="O152" s="64"/>
    </row>
    <row r="153" customFormat="false" ht="15" hidden="false" customHeight="true" outlineLevel="0" collapsed="false">
      <c r="A153" s="63" t="n">
        <v>46134</v>
      </c>
      <c r="B153" s="64" t="s">
        <v>118</v>
      </c>
      <c r="C153" s="64" t="s">
        <v>221</v>
      </c>
      <c r="D153" s="64"/>
      <c r="E153" s="64" t="s">
        <v>293</v>
      </c>
      <c r="F153" s="64"/>
      <c r="G153" s="64" t="s">
        <v>288</v>
      </c>
      <c r="H153" s="64" t="n">
        <v>6</v>
      </c>
      <c r="I153" s="64" t="s">
        <v>95</v>
      </c>
      <c r="J153" s="64" t="s">
        <v>99</v>
      </c>
      <c r="K153" s="64" t="s">
        <v>268</v>
      </c>
      <c r="L153" s="64" t="s">
        <v>435</v>
      </c>
      <c r="M153" s="64"/>
      <c r="N153" s="64" t="s">
        <v>198</v>
      </c>
      <c r="O153" s="64"/>
    </row>
    <row r="154" customFormat="false" ht="15" hidden="false" customHeight="true" outlineLevel="0" collapsed="false">
      <c r="A154" s="63" t="n">
        <v>46134</v>
      </c>
      <c r="B154" s="64" t="s">
        <v>118</v>
      </c>
      <c r="C154" s="64" t="s">
        <v>221</v>
      </c>
      <c r="D154" s="64"/>
      <c r="E154" s="64" t="s">
        <v>293</v>
      </c>
      <c r="F154" s="64"/>
      <c r="G154" s="64" t="s">
        <v>288</v>
      </c>
      <c r="H154" s="64" t="n">
        <v>6</v>
      </c>
      <c r="I154" s="64" t="s">
        <v>95</v>
      </c>
      <c r="J154" s="64" t="s">
        <v>99</v>
      </c>
      <c r="K154" s="64" t="s">
        <v>268</v>
      </c>
      <c r="L154" s="64" t="s">
        <v>436</v>
      </c>
      <c r="M154" s="64"/>
      <c r="N154" s="64" t="s">
        <v>198</v>
      </c>
      <c r="O154" s="64"/>
    </row>
    <row r="155" customFormat="false" ht="15" hidden="false" customHeight="true" outlineLevel="0" collapsed="false">
      <c r="A155" s="63" t="n">
        <v>46134</v>
      </c>
      <c r="B155" s="64" t="s">
        <v>156</v>
      </c>
      <c r="C155" s="64" t="s">
        <v>157</v>
      </c>
      <c r="D155" s="64"/>
      <c r="E155" s="64" t="s">
        <v>295</v>
      </c>
      <c r="F155" s="64" t="n">
        <v>80000</v>
      </c>
      <c r="G155" s="64" t="s">
        <v>288</v>
      </c>
      <c r="H155" s="64" t="n">
        <v>6</v>
      </c>
      <c r="I155" s="64" t="s">
        <v>95</v>
      </c>
      <c r="J155" s="64" t="s">
        <v>158</v>
      </c>
      <c r="K155" s="64" t="s">
        <v>268</v>
      </c>
      <c r="L155" s="64" t="s">
        <v>437</v>
      </c>
      <c r="M155" s="64" t="s">
        <v>310</v>
      </c>
      <c r="N155" s="64" t="s">
        <v>198</v>
      </c>
      <c r="O155" s="64" t="s">
        <v>391</v>
      </c>
    </row>
    <row r="156" customFormat="false" ht="15" hidden="false" customHeight="true" outlineLevel="0" collapsed="false">
      <c r="A156" s="63" t="n">
        <v>46134</v>
      </c>
      <c r="B156" s="64" t="s">
        <v>156</v>
      </c>
      <c r="C156" s="64" t="s">
        <v>157</v>
      </c>
      <c r="D156" s="64"/>
      <c r="E156" s="64" t="s">
        <v>295</v>
      </c>
      <c r="F156" s="64" t="n">
        <v>75000</v>
      </c>
      <c r="G156" s="64" t="s">
        <v>288</v>
      </c>
      <c r="H156" s="64" t="n">
        <v>6</v>
      </c>
      <c r="I156" s="64" t="s">
        <v>95</v>
      </c>
      <c r="J156" s="64" t="s">
        <v>158</v>
      </c>
      <c r="K156" s="64" t="s">
        <v>268</v>
      </c>
      <c r="L156" s="64" t="s">
        <v>438</v>
      </c>
      <c r="M156" s="64" t="s">
        <v>310</v>
      </c>
      <c r="N156" s="64" t="s">
        <v>439</v>
      </c>
      <c r="O156" s="64" t="s">
        <v>391</v>
      </c>
    </row>
    <row r="157" customFormat="false" ht="15" hidden="false" customHeight="true" outlineLevel="0" collapsed="false">
      <c r="A157" s="63" t="n">
        <v>46134</v>
      </c>
      <c r="B157" s="64" t="s">
        <v>156</v>
      </c>
      <c r="C157" s="64" t="s">
        <v>157</v>
      </c>
      <c r="D157" s="64"/>
      <c r="E157" s="64" t="s">
        <v>295</v>
      </c>
      <c r="F157" s="64" t="n">
        <v>80000</v>
      </c>
      <c r="G157" s="64" t="s">
        <v>288</v>
      </c>
      <c r="H157" s="64" t="n">
        <v>6</v>
      </c>
      <c r="I157" s="64" t="s">
        <v>95</v>
      </c>
      <c r="J157" s="64" t="s">
        <v>158</v>
      </c>
      <c r="K157" s="64" t="s">
        <v>268</v>
      </c>
      <c r="L157" s="64" t="s">
        <v>440</v>
      </c>
      <c r="M157" s="64" t="s">
        <v>310</v>
      </c>
      <c r="N157" s="64" t="s">
        <v>198</v>
      </c>
      <c r="O157" s="64" t="s">
        <v>391</v>
      </c>
    </row>
    <row r="158" customFormat="false" ht="15" hidden="false" customHeight="true" outlineLevel="0" collapsed="false">
      <c r="A158" s="63" t="n">
        <v>46134</v>
      </c>
      <c r="B158" s="64" t="s">
        <v>156</v>
      </c>
      <c r="C158" s="64" t="s">
        <v>157</v>
      </c>
      <c r="D158" s="64"/>
      <c r="E158" s="64" t="s">
        <v>295</v>
      </c>
      <c r="F158" s="64" t="n">
        <v>80000</v>
      </c>
      <c r="G158" s="64" t="s">
        <v>288</v>
      </c>
      <c r="H158" s="64" t="n">
        <v>6</v>
      </c>
      <c r="I158" s="64" t="s">
        <v>95</v>
      </c>
      <c r="J158" s="64" t="s">
        <v>158</v>
      </c>
      <c r="K158" s="64" t="s">
        <v>268</v>
      </c>
      <c r="L158" s="64" t="s">
        <v>441</v>
      </c>
      <c r="M158" s="64" t="s">
        <v>310</v>
      </c>
      <c r="N158" s="64" t="s">
        <v>377</v>
      </c>
      <c r="O158" s="64" t="s">
        <v>391</v>
      </c>
    </row>
    <row r="159" customFormat="false" ht="15" hidden="false" customHeight="true" outlineLevel="0" collapsed="false">
      <c r="A159" s="63" t="n">
        <v>46134</v>
      </c>
      <c r="B159" s="64" t="s">
        <v>442</v>
      </c>
      <c r="C159" s="64" t="s">
        <v>142</v>
      </c>
      <c r="D159" s="64"/>
      <c r="E159" s="64" t="n">
        <v>10</v>
      </c>
      <c r="F159" s="64"/>
      <c r="G159" s="64" t="s">
        <v>288</v>
      </c>
      <c r="H159" s="64" t="n">
        <v>6</v>
      </c>
      <c r="I159" s="64" t="s">
        <v>95</v>
      </c>
      <c r="J159" s="64" t="s">
        <v>146</v>
      </c>
      <c r="K159" s="64" t="s">
        <v>268</v>
      </c>
      <c r="L159" s="64" t="s">
        <v>443</v>
      </c>
      <c r="M159" s="64"/>
      <c r="N159" s="64" t="s">
        <v>198</v>
      </c>
      <c r="O159" s="64"/>
    </row>
    <row r="160" customFormat="false" ht="15" hidden="false" customHeight="true" outlineLevel="0" collapsed="false">
      <c r="A160" s="63" t="n">
        <v>46134</v>
      </c>
      <c r="B160" s="64" t="s">
        <v>442</v>
      </c>
      <c r="C160" s="64" t="s">
        <v>142</v>
      </c>
      <c r="D160" s="64"/>
      <c r="E160" s="64" t="s">
        <v>287</v>
      </c>
      <c r="F160" s="64"/>
      <c r="G160" s="64" t="s">
        <v>288</v>
      </c>
      <c r="H160" s="64" t="n">
        <v>6</v>
      </c>
      <c r="I160" s="64" t="s">
        <v>95</v>
      </c>
      <c r="J160" s="64" t="s">
        <v>146</v>
      </c>
      <c r="K160" s="64" t="s">
        <v>268</v>
      </c>
      <c r="L160" s="64" t="s">
        <v>444</v>
      </c>
      <c r="M160" s="64"/>
      <c r="N160" s="64" t="s">
        <v>198</v>
      </c>
      <c r="O160" s="64"/>
    </row>
    <row r="161" customFormat="false" ht="15" hidden="false" customHeight="true" outlineLevel="0" collapsed="false">
      <c r="A161" s="63" t="n">
        <v>46134</v>
      </c>
      <c r="B161" s="64" t="s">
        <v>160</v>
      </c>
      <c r="C161" s="64" t="s">
        <v>161</v>
      </c>
      <c r="D161" s="64"/>
      <c r="E161" s="64" t="n">
        <v>3</v>
      </c>
      <c r="F161" s="64"/>
      <c r="G161" s="64" t="s">
        <v>288</v>
      </c>
      <c r="H161" s="64" t="n">
        <v>6</v>
      </c>
      <c r="I161" s="64" t="s">
        <v>95</v>
      </c>
      <c r="J161" s="64" t="s">
        <v>151</v>
      </c>
      <c r="K161" s="64" t="s">
        <v>268</v>
      </c>
      <c r="L161" s="64" t="s">
        <v>445</v>
      </c>
      <c r="M161" s="64"/>
      <c r="N161" s="64" t="s">
        <v>300</v>
      </c>
      <c r="O161" s="64"/>
    </row>
    <row r="162" customFormat="false" ht="15" hidden="false" customHeight="true" outlineLevel="0" collapsed="false">
      <c r="A162" s="63" t="n">
        <v>46134</v>
      </c>
      <c r="B162" s="64" t="s">
        <v>101</v>
      </c>
      <c r="C162" s="64" t="s">
        <v>102</v>
      </c>
      <c r="D162" s="64"/>
      <c r="E162" s="64" t="s">
        <v>293</v>
      </c>
      <c r="F162" s="64"/>
      <c r="G162" s="64" t="s">
        <v>288</v>
      </c>
      <c r="H162" s="64" t="n">
        <v>6</v>
      </c>
      <c r="I162" s="64" t="s">
        <v>95</v>
      </c>
      <c r="J162" s="64" t="s">
        <v>146</v>
      </c>
      <c r="K162" s="64" t="s">
        <v>267</v>
      </c>
      <c r="L162" s="64" t="s">
        <v>313</v>
      </c>
      <c r="M162" s="64"/>
      <c r="N162" s="64" t="s">
        <v>300</v>
      </c>
      <c r="O162" s="64"/>
    </row>
    <row r="163" customFormat="false" ht="15" hidden="false" customHeight="true" outlineLevel="0" collapsed="false">
      <c r="A163" s="63" t="n">
        <v>46134</v>
      </c>
      <c r="B163" s="64" t="s">
        <v>101</v>
      </c>
      <c r="C163" s="64" t="s">
        <v>102</v>
      </c>
      <c r="D163" s="64"/>
      <c r="E163" s="64" t="s">
        <v>293</v>
      </c>
      <c r="F163" s="64"/>
      <c r="G163" s="64" t="s">
        <v>288</v>
      </c>
      <c r="H163" s="64" t="n">
        <v>6</v>
      </c>
      <c r="I163" s="64" t="s">
        <v>95</v>
      </c>
      <c r="J163" s="64" t="s">
        <v>146</v>
      </c>
      <c r="K163" s="64" t="s">
        <v>267</v>
      </c>
      <c r="L163" s="64" t="s">
        <v>263</v>
      </c>
      <c r="M163" s="64"/>
      <c r="N163" s="64" t="s">
        <v>300</v>
      </c>
      <c r="O163" s="64"/>
    </row>
    <row r="164" customFormat="false" ht="15" hidden="false" customHeight="true" outlineLevel="0" collapsed="false">
      <c r="A164" s="63" t="n">
        <v>46134</v>
      </c>
      <c r="B164" s="64" t="s">
        <v>101</v>
      </c>
      <c r="C164" s="64" t="s">
        <v>102</v>
      </c>
      <c r="D164" s="64"/>
      <c r="E164" s="64" t="s">
        <v>293</v>
      </c>
      <c r="F164" s="64"/>
      <c r="G164" s="64" t="s">
        <v>288</v>
      </c>
      <c r="H164" s="64" t="n">
        <v>6</v>
      </c>
      <c r="I164" s="64" t="s">
        <v>95</v>
      </c>
      <c r="J164" s="64" t="s">
        <v>146</v>
      </c>
      <c r="K164" s="64" t="s">
        <v>267</v>
      </c>
      <c r="L164" s="64" t="s">
        <v>379</v>
      </c>
      <c r="M164" s="64" t="s">
        <v>296</v>
      </c>
      <c r="N164" s="64" t="s">
        <v>198</v>
      </c>
      <c r="O164" s="64" t="s">
        <v>391</v>
      </c>
    </row>
    <row r="165" customFormat="false" ht="15" hidden="false" customHeight="true" outlineLevel="0" collapsed="false">
      <c r="A165" s="63" t="n">
        <v>46134</v>
      </c>
      <c r="B165" s="64" t="s">
        <v>101</v>
      </c>
      <c r="C165" s="64" t="s">
        <v>102</v>
      </c>
      <c r="D165" s="64"/>
      <c r="E165" s="64" t="s">
        <v>293</v>
      </c>
      <c r="F165" s="64"/>
      <c r="G165" s="64" t="s">
        <v>288</v>
      </c>
      <c r="H165" s="64" t="n">
        <v>6</v>
      </c>
      <c r="I165" s="64" t="s">
        <v>95</v>
      </c>
      <c r="J165" s="64" t="s">
        <v>146</v>
      </c>
      <c r="K165" s="64" t="s">
        <v>267</v>
      </c>
      <c r="L165" s="64" t="s">
        <v>446</v>
      </c>
      <c r="M165" s="64"/>
      <c r="N165" s="64" t="s">
        <v>300</v>
      </c>
      <c r="O165" s="6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8" min="7" style="1" width="14"/>
    <col collapsed="false" customWidth="true" hidden="false" outlineLevel="0" max="9" min="9" style="1" width="26"/>
    <col collapsed="false" customWidth="true" hidden="false" outlineLevel="0" max="11" min="10" style="1" width="10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0"/>
  </cols>
  <sheetData>
    <row r="1" customFormat="false" ht="26.25" hidden="false" customHeight="true" outlineLevel="0" collapsed="false">
      <c r="A1" s="36" t="s">
        <v>447</v>
      </c>
      <c r="B1" s="36" t="s">
        <v>448</v>
      </c>
      <c r="C1" s="36" t="s">
        <v>283</v>
      </c>
      <c r="D1" s="36" t="s">
        <v>79</v>
      </c>
      <c r="E1" s="36" t="s">
        <v>449</v>
      </c>
      <c r="F1" s="36" t="s">
        <v>450</v>
      </c>
      <c r="G1" s="36" t="s">
        <v>451</v>
      </c>
      <c r="H1" s="36" t="s">
        <v>452</v>
      </c>
      <c r="I1" s="36" t="s">
        <v>453</v>
      </c>
      <c r="J1" s="36" t="s">
        <v>454</v>
      </c>
      <c r="K1" s="36" t="s">
        <v>455</v>
      </c>
      <c r="L1" s="36" t="s">
        <v>456</v>
      </c>
      <c r="M1" s="36" t="s">
        <v>457</v>
      </c>
      <c r="N1" s="36" t="s">
        <v>458</v>
      </c>
    </row>
    <row r="2" customFormat="false" ht="15" hidden="false" customHeight="true" outlineLevel="0" collapsed="false">
      <c r="A2" s="64" t="n">
        <v>1</v>
      </c>
      <c r="B2" s="64" t="s">
        <v>459</v>
      </c>
      <c r="C2" s="64" t="s">
        <v>267</v>
      </c>
      <c r="D2" s="64" t="s">
        <v>460</v>
      </c>
      <c r="E2" s="64" t="s">
        <v>461</v>
      </c>
      <c r="F2" s="64" t="s">
        <v>338</v>
      </c>
      <c r="G2" s="64" t="n">
        <v>7972549038</v>
      </c>
      <c r="H2" s="64" t="s">
        <v>462</v>
      </c>
      <c r="I2" s="64" t="s">
        <v>463</v>
      </c>
      <c r="J2" s="64" t="n">
        <v>2.1</v>
      </c>
      <c r="K2" s="64" t="n">
        <v>3.1</v>
      </c>
      <c r="L2" s="64" t="s">
        <v>464</v>
      </c>
      <c r="M2" s="64" t="n">
        <v>13</v>
      </c>
      <c r="N2" s="64" t="n">
        <v>2022</v>
      </c>
    </row>
    <row r="3" customFormat="false" ht="15" hidden="false" customHeight="true" outlineLevel="0" collapsed="false">
      <c r="A3" s="64" t="n">
        <v>2</v>
      </c>
      <c r="B3" s="64" t="s">
        <v>465</v>
      </c>
      <c r="C3" s="64" t="s">
        <v>267</v>
      </c>
      <c r="D3" s="64" t="s">
        <v>460</v>
      </c>
      <c r="E3" s="64" t="s">
        <v>461</v>
      </c>
      <c r="F3" s="64" t="s">
        <v>446</v>
      </c>
      <c r="G3" s="64" t="n">
        <v>7518817786</v>
      </c>
      <c r="H3" s="64" t="s">
        <v>462</v>
      </c>
      <c r="I3" s="64" t="s">
        <v>466</v>
      </c>
      <c r="J3" s="64" t="n">
        <v>2.1</v>
      </c>
      <c r="K3" s="64" t="n">
        <v>3.2</v>
      </c>
      <c r="L3" s="64" t="s">
        <v>102</v>
      </c>
      <c r="M3" s="64" t="n">
        <v>6</v>
      </c>
      <c r="N3" s="64" t="n">
        <v>2021</v>
      </c>
    </row>
    <row r="4" customFormat="false" ht="15" hidden="false" customHeight="true" outlineLevel="0" collapsed="false">
      <c r="A4" s="64" t="n">
        <v>3</v>
      </c>
      <c r="B4" s="64" t="s">
        <v>465</v>
      </c>
      <c r="C4" s="64" t="s">
        <v>267</v>
      </c>
      <c r="D4" s="64" t="s">
        <v>460</v>
      </c>
      <c r="E4" s="64" t="s">
        <v>461</v>
      </c>
      <c r="F4" s="64" t="s">
        <v>319</v>
      </c>
      <c r="G4" s="64" t="n">
        <v>7993098031</v>
      </c>
      <c r="H4" s="64" t="s">
        <v>462</v>
      </c>
      <c r="I4" s="64" t="s">
        <v>467</v>
      </c>
      <c r="J4" s="64" t="n">
        <v>2.1</v>
      </c>
      <c r="K4" s="64" t="n">
        <v>3.4</v>
      </c>
      <c r="L4" s="64" t="s">
        <v>464</v>
      </c>
      <c r="M4" s="64" t="n">
        <v>5</v>
      </c>
      <c r="N4" s="64" t="n">
        <v>2023</v>
      </c>
    </row>
    <row r="5" customFormat="false" ht="15" hidden="false" customHeight="true" outlineLevel="0" collapsed="false">
      <c r="A5" s="64" t="n">
        <v>4</v>
      </c>
      <c r="B5" s="64" t="s">
        <v>468</v>
      </c>
      <c r="C5" s="64" t="s">
        <v>267</v>
      </c>
      <c r="D5" s="64" t="s">
        <v>460</v>
      </c>
      <c r="E5" s="64" t="s">
        <v>469</v>
      </c>
      <c r="F5" s="64" t="s">
        <v>409</v>
      </c>
      <c r="G5" s="64" t="n">
        <v>9360425543</v>
      </c>
      <c r="H5" s="64" t="s">
        <v>462</v>
      </c>
      <c r="I5" s="64" t="s">
        <v>470</v>
      </c>
      <c r="J5" s="64" t="n">
        <v>2.2</v>
      </c>
      <c r="K5" s="64" t="n">
        <v>2.6</v>
      </c>
      <c r="L5" s="64" t="s">
        <v>136</v>
      </c>
      <c r="M5" s="64" t="n">
        <v>7</v>
      </c>
      <c r="N5" s="64" t="n">
        <v>2023</v>
      </c>
    </row>
    <row r="6" customFormat="false" ht="15" hidden="false" customHeight="true" outlineLevel="0" collapsed="false">
      <c r="A6" s="64" t="n">
        <v>5</v>
      </c>
      <c r="B6" s="64" t="s">
        <v>468</v>
      </c>
      <c r="C6" s="64" t="s">
        <v>267</v>
      </c>
      <c r="D6" s="64" t="s">
        <v>460</v>
      </c>
      <c r="E6" s="64" t="s">
        <v>469</v>
      </c>
      <c r="F6" s="64" t="s">
        <v>362</v>
      </c>
      <c r="G6" s="64" t="n">
        <v>8838311540</v>
      </c>
      <c r="H6" s="64" t="s">
        <v>462</v>
      </c>
      <c r="I6" s="64" t="s">
        <v>471</v>
      </c>
      <c r="J6" s="64" t="n">
        <v>2.1</v>
      </c>
      <c r="K6" s="64" t="n">
        <v>2.1</v>
      </c>
      <c r="L6" s="64" t="s">
        <v>136</v>
      </c>
      <c r="M6" s="64" t="n">
        <v>3</v>
      </c>
      <c r="N6" s="64" t="n">
        <v>2020</v>
      </c>
    </row>
    <row r="7" customFormat="false" ht="15" hidden="false" customHeight="true" outlineLevel="0" collapsed="false">
      <c r="A7" s="64" t="n">
        <v>6</v>
      </c>
      <c r="B7" s="64" t="s">
        <v>468</v>
      </c>
      <c r="C7" s="64" t="s">
        <v>267</v>
      </c>
      <c r="D7" s="64" t="s">
        <v>460</v>
      </c>
      <c r="E7" s="64" t="s">
        <v>469</v>
      </c>
      <c r="F7" s="64" t="s">
        <v>472</v>
      </c>
      <c r="G7" s="64" t="n">
        <v>9487920544</v>
      </c>
      <c r="H7" s="64" t="s">
        <v>462</v>
      </c>
      <c r="I7" s="64" t="s">
        <v>473</v>
      </c>
      <c r="J7" s="64" t="n">
        <v>2.1</v>
      </c>
      <c r="K7" s="64" t="n">
        <v>2.4</v>
      </c>
      <c r="L7" s="64" t="s">
        <v>136</v>
      </c>
      <c r="M7" s="64" t="n">
        <v>1</v>
      </c>
      <c r="N7" s="64" t="n">
        <v>2021</v>
      </c>
    </row>
    <row r="8" customFormat="false" ht="15" hidden="false" customHeight="true" outlineLevel="0" collapsed="false">
      <c r="A8" s="64" t="n">
        <v>7</v>
      </c>
      <c r="B8" s="64" t="s">
        <v>474</v>
      </c>
      <c r="C8" s="64" t="s">
        <v>267</v>
      </c>
      <c r="D8" s="64" t="s">
        <v>460</v>
      </c>
      <c r="E8" s="64" t="s">
        <v>475</v>
      </c>
      <c r="F8" s="64" t="s">
        <v>413</v>
      </c>
      <c r="G8" s="64" t="n">
        <v>7893137299</v>
      </c>
      <c r="H8" s="64" t="s">
        <v>462</v>
      </c>
      <c r="I8" s="64" t="s">
        <v>476</v>
      </c>
      <c r="J8" s="64" t="n">
        <v>3.2</v>
      </c>
      <c r="K8" s="64" t="n">
        <v>3.2</v>
      </c>
      <c r="L8" s="64" t="s">
        <v>464</v>
      </c>
      <c r="M8" s="64" t="n">
        <v>1</v>
      </c>
      <c r="N8" s="64" t="n">
        <v>2021</v>
      </c>
    </row>
    <row r="9" customFormat="false" ht="15" hidden="false" customHeight="true" outlineLevel="0" collapsed="false">
      <c r="A9" s="64" t="n">
        <v>8</v>
      </c>
      <c r="B9" s="64" t="s">
        <v>474</v>
      </c>
      <c r="C9" s="64" t="s">
        <v>267</v>
      </c>
      <c r="D9" s="64" t="s">
        <v>460</v>
      </c>
      <c r="E9" s="64" t="s">
        <v>469</v>
      </c>
      <c r="F9" s="64" t="s">
        <v>379</v>
      </c>
      <c r="G9" s="64" t="n">
        <v>9844251966</v>
      </c>
      <c r="H9" s="64" t="s">
        <v>462</v>
      </c>
      <c r="I9" s="64" t="s">
        <v>477</v>
      </c>
      <c r="J9" s="64" t="n">
        <v>3.3</v>
      </c>
      <c r="K9" s="64" t="n">
        <v>3.2</v>
      </c>
      <c r="L9" s="64" t="s">
        <v>464</v>
      </c>
      <c r="M9" s="64" t="n">
        <v>4</v>
      </c>
      <c r="N9" s="64" t="n">
        <v>2022</v>
      </c>
    </row>
    <row r="10" customFormat="false" ht="15" hidden="false" customHeight="true" outlineLevel="0" collapsed="false">
      <c r="A10" s="64" t="n">
        <v>9</v>
      </c>
      <c r="B10" s="64" t="s">
        <v>474</v>
      </c>
      <c r="C10" s="64" t="s">
        <v>267</v>
      </c>
      <c r="D10" s="64" t="s">
        <v>478</v>
      </c>
      <c r="E10" s="64" t="s">
        <v>469</v>
      </c>
      <c r="F10" s="64" t="s">
        <v>259</v>
      </c>
      <c r="G10" s="64" t="n">
        <v>6362794142</v>
      </c>
      <c r="H10" s="64" t="s">
        <v>462</v>
      </c>
      <c r="I10" s="64" t="s">
        <v>479</v>
      </c>
      <c r="J10" s="64" t="n">
        <v>3.3</v>
      </c>
      <c r="K10" s="64" t="n">
        <v>3.2</v>
      </c>
      <c r="L10" s="64" t="s">
        <v>464</v>
      </c>
      <c r="M10" s="64" t="n">
        <v>6</v>
      </c>
      <c r="N10" s="64" t="n">
        <v>2021</v>
      </c>
    </row>
    <row r="11" customFormat="false" ht="15" hidden="false" customHeight="true" outlineLevel="0" collapsed="false">
      <c r="A11" s="64" t="n">
        <v>10</v>
      </c>
      <c r="B11" s="64" t="s">
        <v>474</v>
      </c>
      <c r="C11" s="64" t="s">
        <v>267</v>
      </c>
      <c r="D11" s="64" t="s">
        <v>460</v>
      </c>
      <c r="E11" s="64" t="s">
        <v>469</v>
      </c>
      <c r="F11" s="64" t="s">
        <v>337</v>
      </c>
      <c r="G11" s="64" t="n">
        <v>8780459376</v>
      </c>
      <c r="H11" s="64" t="s">
        <v>462</v>
      </c>
      <c r="I11" s="64" t="s">
        <v>480</v>
      </c>
      <c r="J11" s="64" t="n">
        <v>3.1</v>
      </c>
      <c r="K11" s="64" t="n">
        <v>3.1</v>
      </c>
      <c r="L11" s="64" t="s">
        <v>102</v>
      </c>
      <c r="M11" s="64" t="n">
        <v>3</v>
      </c>
      <c r="N11" s="64" t="n">
        <v>2023</v>
      </c>
    </row>
    <row r="12" customFormat="false" ht="15" hidden="false" customHeight="true" outlineLevel="0" collapsed="false">
      <c r="A12" s="64" t="n">
        <v>11</v>
      </c>
      <c r="B12" s="64" t="s">
        <v>474</v>
      </c>
      <c r="C12" s="64" t="s">
        <v>267</v>
      </c>
      <c r="D12" s="64" t="s">
        <v>460</v>
      </c>
      <c r="E12" s="64" t="s">
        <v>461</v>
      </c>
      <c r="F12" s="64" t="s">
        <v>481</v>
      </c>
      <c r="G12" s="64" t="n">
        <v>6393803753</v>
      </c>
      <c r="H12" s="64" t="s">
        <v>462</v>
      </c>
      <c r="I12" s="64" t="s">
        <v>482</v>
      </c>
      <c r="J12" s="64" t="n">
        <v>2.1</v>
      </c>
      <c r="K12" s="64" t="n">
        <v>3.3</v>
      </c>
      <c r="L12" s="64" t="s">
        <v>102</v>
      </c>
      <c r="M12" s="64" t="n">
        <v>7</v>
      </c>
      <c r="N12" s="64" t="n">
        <v>2022</v>
      </c>
    </row>
    <row r="13" customFormat="false" ht="15" hidden="false" customHeight="true" outlineLevel="0" collapsed="false">
      <c r="A13" s="64" t="n">
        <v>12</v>
      </c>
      <c r="B13" s="64" t="s">
        <v>474</v>
      </c>
      <c r="C13" s="64" t="s">
        <v>267</v>
      </c>
      <c r="D13" s="64" t="s">
        <v>460</v>
      </c>
      <c r="E13" s="64" t="s">
        <v>469</v>
      </c>
      <c r="F13" s="64" t="s">
        <v>483</v>
      </c>
      <c r="G13" s="64" t="n">
        <v>7031509368</v>
      </c>
      <c r="H13" s="64" t="s">
        <v>462</v>
      </c>
      <c r="I13" s="64" t="s">
        <v>484</v>
      </c>
      <c r="J13" s="64" t="n">
        <v>2.1</v>
      </c>
      <c r="K13" s="64" t="n">
        <v>3.4</v>
      </c>
      <c r="L13" s="64" t="s">
        <v>464</v>
      </c>
      <c r="M13" s="64" t="n">
        <v>2</v>
      </c>
      <c r="N13" s="64" t="n">
        <v>2023</v>
      </c>
    </row>
    <row r="14" customFormat="false" ht="15" hidden="false" customHeight="true" outlineLevel="0" collapsed="false">
      <c r="A14" s="64" t="n">
        <v>13</v>
      </c>
      <c r="B14" s="64" t="s">
        <v>474</v>
      </c>
      <c r="C14" s="64" t="s">
        <v>267</v>
      </c>
      <c r="D14" s="64" t="s">
        <v>460</v>
      </c>
      <c r="E14" s="64" t="s">
        <v>475</v>
      </c>
      <c r="F14" s="64" t="s">
        <v>401</v>
      </c>
      <c r="G14" s="64" t="n">
        <v>8420212088</v>
      </c>
      <c r="H14" s="64" t="s">
        <v>462</v>
      </c>
      <c r="I14" s="64" t="s">
        <v>485</v>
      </c>
      <c r="J14" s="64" t="n">
        <v>2.1</v>
      </c>
      <c r="K14" s="64" t="n">
        <v>3.3</v>
      </c>
      <c r="L14" s="64" t="s">
        <v>464</v>
      </c>
      <c r="M14" s="64" t="n">
        <v>2</v>
      </c>
      <c r="N14" s="64" t="n">
        <v>2023</v>
      </c>
    </row>
    <row r="15" customFormat="false" ht="15" hidden="false" customHeight="true" outlineLevel="0" collapsed="false">
      <c r="A15" s="64" t="n">
        <v>14</v>
      </c>
      <c r="B15" s="64" t="s">
        <v>486</v>
      </c>
      <c r="C15" s="64" t="s">
        <v>267</v>
      </c>
      <c r="D15" s="64" t="s">
        <v>460</v>
      </c>
      <c r="E15" s="64" t="s">
        <v>469</v>
      </c>
      <c r="F15" s="64" t="s">
        <v>487</v>
      </c>
      <c r="G15" s="64" t="n">
        <v>7324811038</v>
      </c>
      <c r="H15" s="64" t="s">
        <v>462</v>
      </c>
      <c r="I15" s="64" t="s">
        <v>488</v>
      </c>
      <c r="J15" s="64" t="n">
        <v>2.1</v>
      </c>
      <c r="K15" s="64" t="n">
        <v>2.5</v>
      </c>
      <c r="L15" s="64" t="s">
        <v>136</v>
      </c>
      <c r="M15" s="64" t="n">
        <v>2</v>
      </c>
      <c r="N15" s="64" t="n">
        <v>2023</v>
      </c>
    </row>
    <row r="16" customFormat="false" ht="15" hidden="false" customHeight="true" outlineLevel="0" collapsed="false">
      <c r="A16" s="64" t="n">
        <v>15</v>
      </c>
      <c r="B16" s="64" t="s">
        <v>486</v>
      </c>
      <c r="C16" s="64" t="s">
        <v>267</v>
      </c>
      <c r="D16" s="64" t="s">
        <v>460</v>
      </c>
      <c r="E16" s="64" t="s">
        <v>469</v>
      </c>
      <c r="F16" s="64" t="s">
        <v>408</v>
      </c>
      <c r="G16" s="64" t="n">
        <v>8250464855</v>
      </c>
      <c r="H16" s="64" t="s">
        <v>462</v>
      </c>
      <c r="I16" s="64" t="s">
        <v>489</v>
      </c>
      <c r="J16" s="64" t="n">
        <v>2.1</v>
      </c>
      <c r="K16" s="64" t="n">
        <v>2.1</v>
      </c>
      <c r="L16" s="64" t="s">
        <v>136</v>
      </c>
      <c r="M16" s="64" t="n">
        <v>7</v>
      </c>
      <c r="N16" s="64" t="n">
        <v>2023</v>
      </c>
    </row>
    <row r="17" customFormat="false" ht="15" hidden="false" customHeight="true" outlineLevel="0" collapsed="false">
      <c r="A17" s="64" t="n">
        <v>16</v>
      </c>
      <c r="B17" s="64" t="s">
        <v>486</v>
      </c>
      <c r="C17" s="64" t="s">
        <v>267</v>
      </c>
      <c r="D17" s="64" t="s">
        <v>460</v>
      </c>
      <c r="E17" s="64" t="s">
        <v>475</v>
      </c>
      <c r="F17" s="64" t="s">
        <v>490</v>
      </c>
      <c r="G17" s="64" t="n">
        <v>9986948984</v>
      </c>
      <c r="H17" s="64" t="s">
        <v>462</v>
      </c>
      <c r="I17" s="64" t="s">
        <v>491</v>
      </c>
      <c r="J17" s="64" t="n">
        <v>2.1</v>
      </c>
      <c r="K17" s="64" t="n">
        <v>2.1</v>
      </c>
      <c r="L17" s="64" t="s">
        <v>136</v>
      </c>
      <c r="M17" s="64" t="n">
        <v>0</v>
      </c>
      <c r="N17" s="64" t="n">
        <v>2022</v>
      </c>
    </row>
    <row r="18" customFormat="false" ht="15" hidden="false" customHeight="true" outlineLevel="0" collapsed="false">
      <c r="A18" s="64" t="n">
        <v>17</v>
      </c>
      <c r="B18" s="64" t="s">
        <v>486</v>
      </c>
      <c r="C18" s="64" t="s">
        <v>267</v>
      </c>
      <c r="D18" s="64" t="s">
        <v>460</v>
      </c>
      <c r="E18" s="64" t="s">
        <v>461</v>
      </c>
      <c r="F18" s="64" t="s">
        <v>492</v>
      </c>
      <c r="G18" s="64" t="n">
        <v>9483595749</v>
      </c>
      <c r="H18" s="64" t="s">
        <v>462</v>
      </c>
      <c r="I18" s="64" t="s">
        <v>493</v>
      </c>
      <c r="J18" s="64" t="n">
        <v>2.1</v>
      </c>
      <c r="K18" s="64" t="n">
        <v>2.1</v>
      </c>
      <c r="L18" s="64" t="s">
        <v>136</v>
      </c>
      <c r="M18" s="64" t="n">
        <v>0</v>
      </c>
      <c r="N18" s="64" t="n">
        <v>2013</v>
      </c>
    </row>
    <row r="19" customFormat="false" ht="15" hidden="false" customHeight="true" outlineLevel="0" collapsed="false">
      <c r="A19" s="64" t="n">
        <v>18</v>
      </c>
      <c r="B19" s="64" t="s">
        <v>486</v>
      </c>
      <c r="C19" s="64" t="s">
        <v>267</v>
      </c>
      <c r="D19" s="64" t="s">
        <v>460</v>
      </c>
      <c r="E19" s="64" t="s">
        <v>469</v>
      </c>
      <c r="F19" s="64" t="s">
        <v>494</v>
      </c>
      <c r="G19" s="64" t="n">
        <v>9584563320</v>
      </c>
      <c r="H19" s="64" t="s">
        <v>462</v>
      </c>
      <c r="I19" s="64" t="s">
        <v>495</v>
      </c>
      <c r="J19" s="64" t="n">
        <v>2.1</v>
      </c>
      <c r="K19" s="64" t="n">
        <v>3.2</v>
      </c>
      <c r="L19" s="64" t="s">
        <v>464</v>
      </c>
      <c r="M19" s="64" t="n">
        <v>1</v>
      </c>
      <c r="N19" s="64" t="n">
        <v>2023</v>
      </c>
    </row>
    <row r="20" customFormat="false" ht="15" hidden="false" customHeight="true" outlineLevel="0" collapsed="false">
      <c r="A20" s="64" t="n">
        <v>19</v>
      </c>
      <c r="B20" s="64" t="s">
        <v>486</v>
      </c>
      <c r="C20" s="64" t="s">
        <v>267</v>
      </c>
      <c r="D20" s="64" t="s">
        <v>460</v>
      </c>
      <c r="E20" s="64" t="s">
        <v>461</v>
      </c>
      <c r="F20" s="64" t="s">
        <v>496</v>
      </c>
      <c r="G20" s="64" t="n">
        <v>7798412022</v>
      </c>
      <c r="H20" s="64" t="s">
        <v>462</v>
      </c>
      <c r="I20" s="64" t="s">
        <v>497</v>
      </c>
      <c r="J20" s="64" t="n">
        <v>2.1</v>
      </c>
      <c r="K20" s="64" t="n">
        <v>3.1</v>
      </c>
      <c r="L20" s="64" t="s">
        <v>464</v>
      </c>
      <c r="M20" s="64" t="n">
        <v>3</v>
      </c>
      <c r="N20" s="64" t="n">
        <v>2023</v>
      </c>
    </row>
    <row r="21" customFormat="false" ht="15" hidden="false" customHeight="true" outlineLevel="0" collapsed="false">
      <c r="A21" s="64" t="n">
        <v>20</v>
      </c>
      <c r="B21" s="64" t="s">
        <v>486</v>
      </c>
      <c r="C21" s="64" t="s">
        <v>267</v>
      </c>
      <c r="D21" s="64" t="s">
        <v>460</v>
      </c>
      <c r="E21" s="64" t="s">
        <v>469</v>
      </c>
      <c r="F21" s="64" t="s">
        <v>498</v>
      </c>
      <c r="G21" s="64" t="n">
        <v>8408060768</v>
      </c>
      <c r="H21" s="64" t="s">
        <v>462</v>
      </c>
      <c r="I21" s="64" t="s">
        <v>499</v>
      </c>
      <c r="J21" s="64" t="n">
        <v>2.1</v>
      </c>
      <c r="K21" s="64" t="n">
        <v>2.8</v>
      </c>
      <c r="L21" s="64" t="s">
        <v>464</v>
      </c>
      <c r="M21" s="64" t="n">
        <v>0</v>
      </c>
      <c r="N21" s="64" t="n">
        <v>2021</v>
      </c>
    </row>
    <row r="22" customFormat="false" ht="15" hidden="false" customHeight="true" outlineLevel="0" collapsed="false">
      <c r="A22" s="64" t="n">
        <v>21</v>
      </c>
      <c r="B22" s="64" t="s">
        <v>486</v>
      </c>
      <c r="C22" s="64" t="s">
        <v>267</v>
      </c>
      <c r="D22" s="64" t="s">
        <v>460</v>
      </c>
      <c r="E22" s="64" t="s">
        <v>469</v>
      </c>
      <c r="F22" s="64" t="s">
        <v>500</v>
      </c>
      <c r="G22" s="64" t="n">
        <v>8010596974</v>
      </c>
      <c r="H22" s="64" t="s">
        <v>462</v>
      </c>
      <c r="I22" s="64" t="s">
        <v>501</v>
      </c>
      <c r="J22" s="64" t="n">
        <v>2.1</v>
      </c>
      <c r="K22" s="64" t="n">
        <v>3.2</v>
      </c>
      <c r="L22" s="64" t="s">
        <v>464</v>
      </c>
      <c r="M22" s="64" t="n">
        <v>1</v>
      </c>
      <c r="N22" s="64" t="n">
        <v>2023</v>
      </c>
    </row>
    <row r="23" customFormat="false" ht="15" hidden="false" customHeight="true" outlineLevel="0" collapsed="false">
      <c r="A23" s="64" t="n">
        <v>22</v>
      </c>
      <c r="B23" s="64" t="s">
        <v>486</v>
      </c>
      <c r="C23" s="64" t="s">
        <v>267</v>
      </c>
      <c r="D23" s="64" t="s">
        <v>460</v>
      </c>
      <c r="E23" s="64" t="s">
        <v>461</v>
      </c>
      <c r="F23" s="64" t="s">
        <v>373</v>
      </c>
      <c r="G23" s="64" t="n">
        <v>9142064149</v>
      </c>
      <c r="H23" s="64" t="s">
        <v>462</v>
      </c>
      <c r="I23" s="64" t="s">
        <v>502</v>
      </c>
      <c r="J23" s="64" t="n">
        <v>2.1</v>
      </c>
      <c r="K23" s="64" t="n">
        <v>3.8</v>
      </c>
      <c r="L23" s="64" t="s">
        <v>464</v>
      </c>
      <c r="M23" s="64" t="n">
        <v>4</v>
      </c>
      <c r="N23" s="64" t="n">
        <v>2021</v>
      </c>
    </row>
    <row r="24" customFormat="false" ht="15" hidden="false" customHeight="true" outlineLevel="0" collapsed="false">
      <c r="A24" s="64" t="n">
        <v>23</v>
      </c>
      <c r="B24" s="64" t="s">
        <v>503</v>
      </c>
      <c r="C24" s="64" t="s">
        <v>267</v>
      </c>
      <c r="D24" s="64" t="s">
        <v>460</v>
      </c>
      <c r="E24" s="64" t="s">
        <v>461</v>
      </c>
      <c r="F24" s="64" t="s">
        <v>504</v>
      </c>
      <c r="G24" s="64" t="n">
        <v>9030865173</v>
      </c>
      <c r="H24" s="64" t="s">
        <v>462</v>
      </c>
      <c r="I24" s="64" t="s">
        <v>505</v>
      </c>
      <c r="J24" s="64" t="n">
        <v>2.8</v>
      </c>
      <c r="K24" s="64" t="n">
        <v>3.1</v>
      </c>
      <c r="L24" s="64" t="s">
        <v>102</v>
      </c>
      <c r="M24" s="64" t="n">
        <v>2</v>
      </c>
      <c r="N24" s="64" t="n">
        <v>2021</v>
      </c>
    </row>
    <row r="25" customFormat="false" ht="15" hidden="false" customHeight="true" outlineLevel="0" collapsed="false">
      <c r="A25" s="64" t="n">
        <v>24</v>
      </c>
      <c r="B25" s="64" t="s">
        <v>503</v>
      </c>
      <c r="C25" s="64" t="s">
        <v>267</v>
      </c>
      <c r="D25" s="64" t="s">
        <v>460</v>
      </c>
      <c r="E25" s="64" t="s">
        <v>461</v>
      </c>
      <c r="F25" s="64" t="s">
        <v>506</v>
      </c>
      <c r="G25" s="64" t="n">
        <v>9482110936</v>
      </c>
      <c r="H25" s="64" t="s">
        <v>462</v>
      </c>
      <c r="I25" s="64" t="s">
        <v>507</v>
      </c>
      <c r="J25" s="64" t="n">
        <v>2.1</v>
      </c>
      <c r="K25" s="64" t="n">
        <v>2.2</v>
      </c>
      <c r="L25" s="64" t="s">
        <v>464</v>
      </c>
      <c r="M25" s="64" t="n">
        <v>0</v>
      </c>
      <c r="N25" s="64" t="n">
        <v>2022</v>
      </c>
    </row>
    <row r="26" customFormat="false" ht="15" hidden="false" customHeight="true" outlineLevel="0" collapsed="false">
      <c r="A26" s="64" t="n">
        <v>25</v>
      </c>
      <c r="B26" s="64" t="s">
        <v>503</v>
      </c>
      <c r="C26" s="64" t="s">
        <v>267</v>
      </c>
      <c r="D26" s="64" t="s">
        <v>460</v>
      </c>
      <c r="E26" s="64" t="s">
        <v>461</v>
      </c>
      <c r="F26" s="64" t="s">
        <v>255</v>
      </c>
      <c r="G26" s="64" t="n">
        <v>8889344914</v>
      </c>
      <c r="H26" s="64" t="s">
        <v>462</v>
      </c>
      <c r="I26" s="64" t="s">
        <v>508</v>
      </c>
      <c r="J26" s="64" t="n">
        <v>2.8</v>
      </c>
      <c r="K26" s="64" t="n">
        <v>3.1</v>
      </c>
      <c r="L26" s="64" t="s">
        <v>102</v>
      </c>
      <c r="M26" s="64" t="n">
        <v>4</v>
      </c>
      <c r="N26" s="64" t="n">
        <v>2023</v>
      </c>
    </row>
    <row r="27" customFormat="false" ht="15" hidden="false" customHeight="true" outlineLevel="0" collapsed="false">
      <c r="A27" s="64" t="n">
        <v>26</v>
      </c>
      <c r="B27" s="64" t="s">
        <v>503</v>
      </c>
      <c r="C27" s="64" t="s">
        <v>267</v>
      </c>
      <c r="D27" s="64" t="s">
        <v>478</v>
      </c>
      <c r="E27" s="64" t="s">
        <v>461</v>
      </c>
      <c r="F27" s="64" t="s">
        <v>249</v>
      </c>
      <c r="G27" s="64" t="n">
        <v>9036107476</v>
      </c>
      <c r="H27" s="64" t="s">
        <v>462</v>
      </c>
      <c r="I27" s="64" t="s">
        <v>509</v>
      </c>
      <c r="J27" s="64" t="n">
        <v>3.2</v>
      </c>
      <c r="K27" s="64" t="n">
        <v>3.2</v>
      </c>
      <c r="L27" s="64" t="s">
        <v>102</v>
      </c>
      <c r="M27" s="64" t="n">
        <v>5</v>
      </c>
      <c r="N27" s="64" t="n">
        <v>2022</v>
      </c>
    </row>
    <row r="28" customFormat="false" ht="15" hidden="false" customHeight="true" outlineLevel="0" collapsed="false">
      <c r="A28" s="64" t="n">
        <v>27</v>
      </c>
      <c r="B28" s="64" t="s">
        <v>503</v>
      </c>
      <c r="C28" s="64" t="s">
        <v>267</v>
      </c>
      <c r="D28" s="64" t="s">
        <v>460</v>
      </c>
      <c r="E28" s="64" t="s">
        <v>461</v>
      </c>
      <c r="F28" s="64" t="s">
        <v>510</v>
      </c>
      <c r="G28" s="64" t="n">
        <v>9360698616</v>
      </c>
      <c r="H28" s="64" t="s">
        <v>462</v>
      </c>
      <c r="I28" s="64" t="s">
        <v>511</v>
      </c>
      <c r="J28" s="64" t="n">
        <v>2.6</v>
      </c>
      <c r="K28" s="64" t="n">
        <v>3.1</v>
      </c>
      <c r="L28" s="64" t="s">
        <v>102</v>
      </c>
      <c r="M28" s="64" t="n">
        <v>3</v>
      </c>
      <c r="N28" s="64" t="n">
        <v>2023</v>
      </c>
    </row>
    <row r="29" customFormat="false" ht="15" hidden="false" customHeight="true" outlineLevel="0" collapsed="false">
      <c r="A29" s="64" t="n">
        <v>28</v>
      </c>
      <c r="B29" s="64" t="s">
        <v>503</v>
      </c>
      <c r="C29" s="64" t="s">
        <v>267</v>
      </c>
      <c r="D29" s="64" t="s">
        <v>460</v>
      </c>
      <c r="E29" s="64" t="s">
        <v>461</v>
      </c>
      <c r="F29" s="64" t="s">
        <v>512</v>
      </c>
      <c r="G29" s="64" t="n">
        <v>9972998297</v>
      </c>
      <c r="H29" s="64" t="s">
        <v>462</v>
      </c>
      <c r="I29" s="64" t="s">
        <v>513</v>
      </c>
      <c r="J29" s="64" t="n">
        <v>2.6</v>
      </c>
      <c r="K29" s="64" t="n">
        <v>3.2</v>
      </c>
      <c r="L29" s="64" t="s">
        <v>102</v>
      </c>
      <c r="M29" s="64" t="n">
        <v>2</v>
      </c>
      <c r="N29" s="64" t="n">
        <v>2023</v>
      </c>
    </row>
    <row r="30" customFormat="false" ht="15" hidden="false" customHeight="true" outlineLevel="0" collapsed="false">
      <c r="A30" s="64" t="n">
        <v>29</v>
      </c>
      <c r="B30" s="64" t="s">
        <v>503</v>
      </c>
      <c r="C30" s="64" t="s">
        <v>267</v>
      </c>
      <c r="D30" s="64" t="s">
        <v>460</v>
      </c>
      <c r="E30" s="64" t="s">
        <v>461</v>
      </c>
      <c r="F30" s="64" t="s">
        <v>514</v>
      </c>
      <c r="G30" s="64" t="n">
        <v>8754680915</v>
      </c>
      <c r="H30" s="64" t="s">
        <v>462</v>
      </c>
      <c r="I30" s="64" t="s">
        <v>515</v>
      </c>
      <c r="J30" s="64" t="n">
        <v>2.1</v>
      </c>
      <c r="K30" s="64" t="n">
        <v>3.4</v>
      </c>
      <c r="L30" s="64" t="s">
        <v>464</v>
      </c>
      <c r="M30" s="64" t="n">
        <v>1</v>
      </c>
      <c r="N30" s="64" t="n">
        <v>2017</v>
      </c>
    </row>
    <row r="31" customFormat="false" ht="15" hidden="false" customHeight="true" outlineLevel="0" collapsed="false">
      <c r="A31" s="64" t="n">
        <v>30</v>
      </c>
      <c r="B31" s="64" t="s">
        <v>503</v>
      </c>
      <c r="C31" s="64" t="s">
        <v>267</v>
      </c>
      <c r="D31" s="64" t="s">
        <v>460</v>
      </c>
      <c r="E31" s="64" t="s">
        <v>461</v>
      </c>
      <c r="F31" s="64" t="s">
        <v>258</v>
      </c>
      <c r="G31" s="64" t="n">
        <v>8050987234</v>
      </c>
      <c r="H31" s="64" t="s">
        <v>462</v>
      </c>
      <c r="I31" s="64" t="s">
        <v>516</v>
      </c>
      <c r="J31" s="64" t="n">
        <v>3.2</v>
      </c>
      <c r="K31" s="64" t="n">
        <v>3.2</v>
      </c>
      <c r="L31" s="64" t="s">
        <v>102</v>
      </c>
      <c r="M31" s="64" t="n">
        <v>4</v>
      </c>
      <c r="N31" s="64" t="n">
        <v>2022</v>
      </c>
    </row>
    <row r="32" customFormat="false" ht="15" hidden="false" customHeight="true" outlineLevel="0" collapsed="false">
      <c r="A32" s="64" t="n">
        <v>31</v>
      </c>
      <c r="B32" s="64" t="s">
        <v>503</v>
      </c>
      <c r="C32" s="64" t="s">
        <v>267</v>
      </c>
      <c r="D32" s="64" t="s">
        <v>460</v>
      </c>
      <c r="E32" s="64" t="s">
        <v>461</v>
      </c>
      <c r="F32" s="64" t="s">
        <v>517</v>
      </c>
      <c r="G32" s="64" t="n">
        <v>7483003879</v>
      </c>
      <c r="H32" s="64" t="s">
        <v>462</v>
      </c>
      <c r="I32" s="64" t="s">
        <v>518</v>
      </c>
      <c r="J32" s="64" t="n">
        <v>3.2</v>
      </c>
      <c r="K32" s="64" t="n">
        <v>3.5</v>
      </c>
      <c r="L32" s="64" t="s">
        <v>102</v>
      </c>
      <c r="M32" s="64" t="n">
        <v>3</v>
      </c>
      <c r="N32" s="64" t="n">
        <v>2022</v>
      </c>
    </row>
    <row r="33" customFormat="false" ht="15" hidden="false" customHeight="true" outlineLevel="0" collapsed="false">
      <c r="A33" s="64" t="n">
        <v>32</v>
      </c>
      <c r="B33" s="64" t="s">
        <v>503</v>
      </c>
      <c r="C33" s="64" t="s">
        <v>267</v>
      </c>
      <c r="D33" s="64" t="s">
        <v>460</v>
      </c>
      <c r="E33" s="64" t="s">
        <v>461</v>
      </c>
      <c r="F33" s="64" t="s">
        <v>519</v>
      </c>
      <c r="G33" s="64" t="n">
        <v>8072380148</v>
      </c>
      <c r="H33" s="64" t="s">
        <v>462</v>
      </c>
      <c r="I33" s="64" t="s">
        <v>520</v>
      </c>
      <c r="J33" s="64" t="n">
        <v>2.9</v>
      </c>
      <c r="K33" s="64" t="n">
        <v>3.2</v>
      </c>
      <c r="L33" s="64" t="s">
        <v>102</v>
      </c>
      <c r="M33" s="64" t="n">
        <v>0</v>
      </c>
      <c r="N33" s="64" t="n">
        <v>2023</v>
      </c>
    </row>
    <row r="34" customFormat="false" ht="15" hidden="false" customHeight="true" outlineLevel="0" collapsed="false">
      <c r="A34" s="64" t="n">
        <v>33</v>
      </c>
      <c r="B34" s="64" t="s">
        <v>503</v>
      </c>
      <c r="C34" s="64" t="s">
        <v>267</v>
      </c>
      <c r="D34" s="64" t="s">
        <v>460</v>
      </c>
      <c r="E34" s="64" t="s">
        <v>461</v>
      </c>
      <c r="F34" s="64" t="s">
        <v>521</v>
      </c>
      <c r="G34" s="64" t="n">
        <v>7349360340</v>
      </c>
      <c r="H34" s="64" t="s">
        <v>462</v>
      </c>
      <c r="I34" s="64" t="s">
        <v>522</v>
      </c>
      <c r="J34" s="64" t="n">
        <v>2.1</v>
      </c>
      <c r="K34" s="64" t="n">
        <v>2.1</v>
      </c>
      <c r="L34" s="64" t="s">
        <v>136</v>
      </c>
      <c r="M34" s="64" t="n">
        <v>1</v>
      </c>
      <c r="N34" s="64" t="n">
        <v>2021</v>
      </c>
    </row>
    <row r="35" customFormat="false" ht="15" hidden="false" customHeight="true" outlineLevel="0" collapsed="false">
      <c r="A35" s="64" t="n">
        <v>34</v>
      </c>
      <c r="B35" s="64" t="s">
        <v>503</v>
      </c>
      <c r="C35" s="64" t="s">
        <v>267</v>
      </c>
      <c r="D35" s="64" t="s">
        <v>460</v>
      </c>
      <c r="E35" s="64" t="s">
        <v>461</v>
      </c>
      <c r="F35" s="64" t="s">
        <v>523</v>
      </c>
      <c r="G35" s="64" t="n">
        <v>9182837081</v>
      </c>
      <c r="H35" s="64" t="s">
        <v>462</v>
      </c>
      <c r="I35" s="64" t="s">
        <v>524</v>
      </c>
      <c r="J35" s="64" t="n">
        <v>3.1</v>
      </c>
      <c r="K35" s="64" t="n">
        <v>3.1</v>
      </c>
      <c r="L35" s="64" t="s">
        <v>136</v>
      </c>
      <c r="M35" s="64" t="n">
        <v>1</v>
      </c>
      <c r="N35" s="64" t="n">
        <v>2023</v>
      </c>
    </row>
    <row r="36" customFormat="false" ht="15" hidden="false" customHeight="true" outlineLevel="0" collapsed="false">
      <c r="A36" s="64" t="n">
        <v>35</v>
      </c>
      <c r="B36" s="64" t="s">
        <v>503</v>
      </c>
      <c r="C36" s="64" t="s">
        <v>267</v>
      </c>
      <c r="D36" s="64" t="s">
        <v>460</v>
      </c>
      <c r="E36" s="64" t="s">
        <v>461</v>
      </c>
      <c r="F36" s="64" t="s">
        <v>525</v>
      </c>
      <c r="G36" s="64" t="n">
        <v>9470502529</v>
      </c>
      <c r="H36" s="64" t="s">
        <v>462</v>
      </c>
      <c r="I36" s="64" t="s">
        <v>526</v>
      </c>
      <c r="J36" s="64" t="n">
        <v>0.6</v>
      </c>
      <c r="K36" s="64" t="n">
        <v>0.6</v>
      </c>
      <c r="L36" s="64" t="s">
        <v>136</v>
      </c>
      <c r="M36" s="64" t="n">
        <v>0</v>
      </c>
      <c r="N36" s="64" t="n">
        <v>2023</v>
      </c>
    </row>
    <row r="37" customFormat="false" ht="15" hidden="false" customHeight="true" outlineLevel="0" collapsed="false">
      <c r="A37" s="64" t="n">
        <v>36</v>
      </c>
      <c r="B37" s="64" t="s">
        <v>503</v>
      </c>
      <c r="C37" s="64" t="s">
        <v>267</v>
      </c>
      <c r="D37" s="64" t="s">
        <v>460</v>
      </c>
      <c r="E37" s="64" t="s">
        <v>461</v>
      </c>
      <c r="F37" s="64" t="s">
        <v>527</v>
      </c>
      <c r="G37" s="64" t="n">
        <v>9945100762</v>
      </c>
      <c r="H37" s="64" t="s">
        <v>462</v>
      </c>
      <c r="I37" s="64" t="s">
        <v>528</v>
      </c>
      <c r="J37" s="64" t="n">
        <v>0.6</v>
      </c>
      <c r="K37" s="64" t="n">
        <v>0.6</v>
      </c>
      <c r="L37" s="64" t="s">
        <v>136</v>
      </c>
      <c r="M37" s="64" t="n">
        <v>0</v>
      </c>
      <c r="N37" s="64" t="n">
        <v>2020</v>
      </c>
    </row>
    <row r="38" customFormat="false" ht="15" hidden="false" customHeight="true" outlineLevel="0" collapsed="false">
      <c r="A38" s="64" t="n">
        <v>37</v>
      </c>
      <c r="B38" s="64" t="s">
        <v>529</v>
      </c>
      <c r="C38" s="64" t="s">
        <v>267</v>
      </c>
      <c r="D38" s="64" t="s">
        <v>460</v>
      </c>
      <c r="E38" s="64" t="s">
        <v>461</v>
      </c>
      <c r="F38" s="64" t="s">
        <v>530</v>
      </c>
      <c r="G38" s="64" t="n">
        <v>8971302929</v>
      </c>
      <c r="H38" s="64" t="s">
        <v>462</v>
      </c>
      <c r="I38" s="64" t="s">
        <v>531</v>
      </c>
      <c r="J38" s="64" t="n">
        <v>0.6</v>
      </c>
      <c r="K38" s="64" t="n">
        <v>0.6</v>
      </c>
      <c r="L38" s="64" t="s">
        <v>136</v>
      </c>
      <c r="M38" s="64" t="n">
        <v>0</v>
      </c>
      <c r="N38" s="64" t="n">
        <v>2022</v>
      </c>
    </row>
    <row r="39" customFormat="false" ht="15" hidden="false" customHeight="true" outlineLevel="0" collapsed="false">
      <c r="A39" s="64" t="n">
        <v>38</v>
      </c>
      <c r="B39" s="64" t="s">
        <v>529</v>
      </c>
      <c r="C39" s="64" t="s">
        <v>267</v>
      </c>
      <c r="D39" s="64" t="s">
        <v>460</v>
      </c>
      <c r="E39" s="64" t="s">
        <v>461</v>
      </c>
      <c r="F39" s="64" t="s">
        <v>532</v>
      </c>
      <c r="G39" s="64" t="n">
        <v>9131802992</v>
      </c>
      <c r="H39" s="64" t="s">
        <v>462</v>
      </c>
      <c r="I39" s="64" t="s">
        <v>533</v>
      </c>
      <c r="J39" s="64" t="n">
        <v>3</v>
      </c>
      <c r="K39" s="64" t="n">
        <v>3</v>
      </c>
      <c r="L39" s="64" t="s">
        <v>136</v>
      </c>
      <c r="M39" s="64" t="n">
        <v>1</v>
      </c>
      <c r="N39" s="64" t="n">
        <v>2021</v>
      </c>
    </row>
    <row r="40" customFormat="false" ht="15" hidden="false" customHeight="true" outlineLevel="0" collapsed="false">
      <c r="A40" s="64" t="n">
        <v>39</v>
      </c>
      <c r="B40" s="64" t="s">
        <v>529</v>
      </c>
      <c r="C40" s="64" t="s">
        <v>267</v>
      </c>
      <c r="D40" s="64" t="s">
        <v>460</v>
      </c>
      <c r="E40" s="64" t="s">
        <v>461</v>
      </c>
      <c r="F40" s="64" t="s">
        <v>534</v>
      </c>
      <c r="G40" s="64" t="n">
        <v>7585082936</v>
      </c>
      <c r="H40" s="64" t="s">
        <v>462</v>
      </c>
      <c r="I40" s="64" t="s">
        <v>535</v>
      </c>
      <c r="J40" s="64" t="n">
        <v>0.6</v>
      </c>
      <c r="K40" s="64" t="n">
        <v>0.6</v>
      </c>
      <c r="L40" s="64" t="s">
        <v>136</v>
      </c>
      <c r="M40" s="64" t="n">
        <v>0</v>
      </c>
      <c r="N40" s="64" t="n">
        <v>2025</v>
      </c>
    </row>
    <row r="41" customFormat="false" ht="15" hidden="false" customHeight="true" outlineLevel="0" collapsed="false">
      <c r="A41" s="64" t="n">
        <v>40</v>
      </c>
      <c r="B41" s="64" t="s">
        <v>536</v>
      </c>
      <c r="C41" s="64" t="s">
        <v>267</v>
      </c>
      <c r="D41" s="64" t="s">
        <v>460</v>
      </c>
      <c r="E41" s="64"/>
      <c r="F41" s="64" t="s">
        <v>537</v>
      </c>
      <c r="G41" s="64" t="n">
        <v>9178832411</v>
      </c>
      <c r="H41" s="64" t="s">
        <v>462</v>
      </c>
      <c r="I41" s="64" t="s">
        <v>538</v>
      </c>
      <c r="J41" s="64" t="n">
        <v>3.2</v>
      </c>
      <c r="K41" s="64" t="n">
        <v>3.2</v>
      </c>
      <c r="L41" s="64" t="s">
        <v>464</v>
      </c>
      <c r="M41" s="64"/>
      <c r="N41" s="64" t="n">
        <v>2023</v>
      </c>
    </row>
    <row r="42" customFormat="false" ht="15" hidden="false" customHeight="true" outlineLevel="0" collapsed="false">
      <c r="A42" s="64" t="n">
        <v>41</v>
      </c>
      <c r="B42" s="64" t="s">
        <v>536</v>
      </c>
      <c r="C42" s="64" t="s">
        <v>267</v>
      </c>
      <c r="D42" s="64" t="s">
        <v>460</v>
      </c>
      <c r="E42" s="64"/>
      <c r="F42" s="64" t="s">
        <v>539</v>
      </c>
      <c r="G42" s="64" t="n">
        <v>9380506027</v>
      </c>
      <c r="H42" s="64" t="s">
        <v>462</v>
      </c>
      <c r="I42" s="64" t="s">
        <v>540</v>
      </c>
      <c r="J42" s="64" t="n">
        <v>3.4</v>
      </c>
      <c r="K42" s="64" t="n">
        <v>3.4</v>
      </c>
      <c r="L42" s="64" t="s">
        <v>464</v>
      </c>
      <c r="M42" s="64"/>
      <c r="N42" s="64" t="n">
        <v>2018</v>
      </c>
    </row>
    <row r="43" customFormat="false" ht="15" hidden="false" customHeight="true" outlineLevel="0" collapsed="false">
      <c r="A43" s="64" t="n">
        <v>42</v>
      </c>
      <c r="B43" s="64" t="s">
        <v>536</v>
      </c>
      <c r="C43" s="64" t="s">
        <v>267</v>
      </c>
      <c r="D43" s="64" t="s">
        <v>462</v>
      </c>
      <c r="E43" s="64" t="s">
        <v>469</v>
      </c>
      <c r="F43" s="64" t="s">
        <v>541</v>
      </c>
      <c r="G43" s="64" t="n">
        <v>9016261345</v>
      </c>
      <c r="H43" s="64" t="s">
        <v>462</v>
      </c>
      <c r="I43" s="64" t="s">
        <v>542</v>
      </c>
      <c r="J43" s="64" t="n">
        <v>3.1</v>
      </c>
      <c r="K43" s="64" t="n">
        <v>3.1</v>
      </c>
      <c r="L43" s="64" t="s">
        <v>464</v>
      </c>
      <c r="M43" s="64"/>
      <c r="N43" s="64" t="n">
        <v>2023</v>
      </c>
    </row>
    <row r="44" customFormat="false" ht="15" hidden="false" customHeight="true" outlineLevel="0" collapsed="false">
      <c r="A44" s="64" t="n">
        <v>43</v>
      </c>
      <c r="B44" s="64" t="s">
        <v>536</v>
      </c>
      <c r="C44" s="64" t="s">
        <v>267</v>
      </c>
      <c r="D44" s="64" t="s">
        <v>460</v>
      </c>
      <c r="E44" s="64"/>
      <c r="F44" s="64" t="s">
        <v>543</v>
      </c>
      <c r="G44" s="64" t="n">
        <v>9635196051</v>
      </c>
      <c r="H44" s="64" t="s">
        <v>462</v>
      </c>
      <c r="I44" s="64" t="s">
        <v>544</v>
      </c>
      <c r="J44" s="64" t="n">
        <v>3.5</v>
      </c>
      <c r="K44" s="64" t="n">
        <v>3.5</v>
      </c>
      <c r="L44" s="64" t="s">
        <v>464</v>
      </c>
      <c r="M44" s="64"/>
      <c r="N44" s="64" t="n">
        <v>2023</v>
      </c>
    </row>
    <row r="45" customFormat="false" ht="15" hidden="false" customHeight="true" outlineLevel="0" collapsed="false">
      <c r="A45" s="64" t="n">
        <v>44</v>
      </c>
      <c r="B45" s="64" t="s">
        <v>536</v>
      </c>
      <c r="C45" s="64" t="s">
        <v>267</v>
      </c>
      <c r="D45" s="64" t="s">
        <v>460</v>
      </c>
      <c r="E45" s="64"/>
      <c r="F45" s="64" t="s">
        <v>545</v>
      </c>
      <c r="G45" s="64" t="n">
        <v>8310245356</v>
      </c>
      <c r="H45" s="64" t="s">
        <v>462</v>
      </c>
      <c r="I45" s="64" t="s">
        <v>546</v>
      </c>
      <c r="J45" s="64" t="n">
        <v>3.5</v>
      </c>
      <c r="K45" s="64" t="n">
        <v>3.5</v>
      </c>
      <c r="L45" s="64" t="s">
        <v>464</v>
      </c>
      <c r="M45" s="64"/>
      <c r="N45" s="64" t="n">
        <v>2023</v>
      </c>
    </row>
    <row r="46" customFormat="false" ht="15" hidden="false" customHeight="true" outlineLevel="0" collapsed="false">
      <c r="A46" s="64" t="n">
        <v>45</v>
      </c>
      <c r="B46" s="64" t="s">
        <v>536</v>
      </c>
      <c r="C46" s="64" t="s">
        <v>267</v>
      </c>
      <c r="D46" s="64" t="s">
        <v>460</v>
      </c>
      <c r="E46" s="64"/>
      <c r="F46" s="64" t="s">
        <v>428</v>
      </c>
      <c r="G46" s="64" t="n">
        <v>7288812161</v>
      </c>
      <c r="H46" s="64" t="s">
        <v>462</v>
      </c>
      <c r="I46" s="64" t="s">
        <v>547</v>
      </c>
      <c r="J46" s="64" t="n">
        <v>3.5</v>
      </c>
      <c r="K46" s="64" t="n">
        <v>3.5</v>
      </c>
      <c r="L46" s="64" t="s">
        <v>464</v>
      </c>
      <c r="M46" s="64"/>
      <c r="N46" s="64" t="n">
        <v>2021</v>
      </c>
    </row>
    <row r="47" customFormat="false" ht="15" hidden="false" customHeight="true" outlineLevel="0" collapsed="false">
      <c r="A47" s="64" t="n">
        <v>46</v>
      </c>
      <c r="B47" s="64" t="s">
        <v>536</v>
      </c>
      <c r="C47" s="64" t="s">
        <v>267</v>
      </c>
      <c r="D47" s="64" t="s">
        <v>460</v>
      </c>
      <c r="E47" s="64"/>
      <c r="F47" s="64" t="s">
        <v>548</v>
      </c>
      <c r="G47" s="64" t="n">
        <v>8197623998</v>
      </c>
      <c r="H47" s="64" t="s">
        <v>462</v>
      </c>
      <c r="I47" s="64" t="s">
        <v>549</v>
      </c>
      <c r="J47" s="64" t="n">
        <v>3.1</v>
      </c>
      <c r="K47" s="64" t="n">
        <v>3.1</v>
      </c>
      <c r="L47" s="64" t="s">
        <v>464</v>
      </c>
      <c r="M47" s="64"/>
      <c r="N47" s="64" t="n">
        <v>2023</v>
      </c>
    </row>
    <row r="48" customFormat="false" ht="15" hidden="false" customHeight="true" outlineLevel="0" collapsed="false">
      <c r="A48" s="64" t="n">
        <v>47</v>
      </c>
      <c r="B48" s="64" t="s">
        <v>536</v>
      </c>
      <c r="C48" s="64" t="s">
        <v>267</v>
      </c>
      <c r="D48" s="64" t="s">
        <v>460</v>
      </c>
      <c r="E48" s="64"/>
      <c r="F48" s="64" t="s">
        <v>550</v>
      </c>
      <c r="G48" s="64" t="n">
        <v>8871975748</v>
      </c>
      <c r="H48" s="64" t="s">
        <v>462</v>
      </c>
      <c r="I48" s="64" t="s">
        <v>551</v>
      </c>
      <c r="J48" s="64" t="n">
        <v>3.2</v>
      </c>
      <c r="K48" s="64" t="n">
        <v>3.2</v>
      </c>
      <c r="L48" s="64" t="s">
        <v>464</v>
      </c>
      <c r="M48" s="64"/>
      <c r="N48" s="64" t="n">
        <v>2023</v>
      </c>
    </row>
    <row r="49" customFormat="false" ht="15" hidden="false" customHeight="true" outlineLevel="0" collapsed="false">
      <c r="A49" s="64" t="n">
        <v>48</v>
      </c>
      <c r="B49" s="64" t="s">
        <v>536</v>
      </c>
      <c r="C49" s="64" t="s">
        <v>267</v>
      </c>
      <c r="D49" s="64" t="s">
        <v>460</v>
      </c>
      <c r="E49" s="64"/>
      <c r="F49" s="64" t="s">
        <v>552</v>
      </c>
      <c r="G49" s="64" t="n">
        <v>7978557446</v>
      </c>
      <c r="H49" s="64" t="s">
        <v>462</v>
      </c>
      <c r="I49" s="64" t="s">
        <v>553</v>
      </c>
      <c r="J49" s="64" t="n">
        <v>3.1</v>
      </c>
      <c r="K49" s="64" t="n">
        <v>3.1</v>
      </c>
      <c r="L49" s="64" t="s">
        <v>464</v>
      </c>
      <c r="M49" s="64"/>
      <c r="N49" s="64" t="n">
        <v>2020</v>
      </c>
    </row>
    <row r="50" customFormat="false" ht="15" hidden="false" customHeight="true" outlineLevel="0" collapsed="false">
      <c r="A50" s="64" t="n">
        <v>49</v>
      </c>
      <c r="B50" s="64"/>
      <c r="C50" s="64" t="s">
        <v>554</v>
      </c>
      <c r="D50" s="64" t="s">
        <v>460</v>
      </c>
      <c r="E50" s="64" t="s">
        <v>461</v>
      </c>
      <c r="F50" s="64" t="s">
        <v>257</v>
      </c>
      <c r="G50" s="64" t="n">
        <v>7022363693</v>
      </c>
      <c r="H50" s="64" t="s">
        <v>555</v>
      </c>
      <c r="I50" s="64" t="s">
        <v>556</v>
      </c>
      <c r="J50" s="64" t="n">
        <v>2.4</v>
      </c>
      <c r="K50" s="64" t="n">
        <v>4.1</v>
      </c>
      <c r="L50" s="64" t="s">
        <v>464</v>
      </c>
      <c r="M50" s="64" t="n">
        <v>1</v>
      </c>
      <c r="N50" s="64" t="n">
        <v>2019</v>
      </c>
    </row>
    <row r="51" customFormat="false" ht="15" hidden="false" customHeight="true" outlineLevel="0" collapsed="false">
      <c r="A51" s="64" t="n">
        <v>50</v>
      </c>
      <c r="B51" s="64"/>
      <c r="C51" s="64" t="s">
        <v>554</v>
      </c>
      <c r="D51" s="64" t="s">
        <v>460</v>
      </c>
      <c r="E51" s="64" t="s">
        <v>475</v>
      </c>
      <c r="F51" s="64" t="s">
        <v>557</v>
      </c>
      <c r="G51" s="64" t="n">
        <v>8617529136</v>
      </c>
      <c r="H51" s="64" t="s">
        <v>558</v>
      </c>
      <c r="I51" s="64" t="s">
        <v>559</v>
      </c>
      <c r="J51" s="64" t="n">
        <v>3.1</v>
      </c>
      <c r="K51" s="64" t="n">
        <v>3.4</v>
      </c>
      <c r="L51" s="64" t="s">
        <v>464</v>
      </c>
      <c r="M51" s="64" t="n">
        <v>4</v>
      </c>
      <c r="N51" s="64" t="n">
        <v>2022</v>
      </c>
    </row>
    <row r="52" customFormat="false" ht="15" hidden="false" customHeight="true" outlineLevel="0" collapsed="false">
      <c r="A52" s="64" t="n">
        <v>51</v>
      </c>
      <c r="B52" s="64"/>
      <c r="C52" s="64" t="s">
        <v>554</v>
      </c>
      <c r="D52" s="64" t="s">
        <v>460</v>
      </c>
      <c r="E52" s="64" t="s">
        <v>461</v>
      </c>
      <c r="F52" s="64" t="s">
        <v>315</v>
      </c>
      <c r="G52" s="64" t="n">
        <v>9740072180</v>
      </c>
      <c r="H52" s="64" t="s">
        <v>560</v>
      </c>
      <c r="I52" s="64" t="s">
        <v>561</v>
      </c>
      <c r="J52" s="64" t="n">
        <v>3.7</v>
      </c>
      <c r="K52" s="64" t="n">
        <v>3.7</v>
      </c>
      <c r="L52" s="64" t="s">
        <v>464</v>
      </c>
      <c r="M52" s="64" t="n">
        <v>7</v>
      </c>
      <c r="N52" s="64" t="n">
        <v>2019</v>
      </c>
    </row>
    <row r="53" customFormat="false" ht="15" hidden="false" customHeight="true" outlineLevel="0" collapsed="false">
      <c r="A53" s="64" t="n">
        <v>52</v>
      </c>
      <c r="B53" s="64"/>
      <c r="C53" s="64" t="s">
        <v>554</v>
      </c>
      <c r="D53" s="64" t="s">
        <v>460</v>
      </c>
      <c r="E53" s="64" t="s">
        <v>461</v>
      </c>
      <c r="F53" s="64" t="s">
        <v>322</v>
      </c>
      <c r="G53" s="64" t="n">
        <v>8867005735</v>
      </c>
      <c r="H53" s="64" t="s">
        <v>562</v>
      </c>
      <c r="I53" s="64" t="s">
        <v>563</v>
      </c>
      <c r="J53" s="64" t="n">
        <v>4.3</v>
      </c>
      <c r="K53" s="64" t="n">
        <v>4.3</v>
      </c>
      <c r="L53" s="64" t="s">
        <v>464</v>
      </c>
      <c r="M53" s="64" t="n">
        <v>11</v>
      </c>
      <c r="N53" s="64" t="n">
        <v>2019</v>
      </c>
    </row>
    <row r="54" customFormat="false" ht="15" hidden="false" customHeight="true" outlineLevel="0" collapsed="false">
      <c r="A54" s="64" t="n">
        <v>53</v>
      </c>
      <c r="B54" s="64"/>
      <c r="C54" s="64" t="s">
        <v>554</v>
      </c>
      <c r="D54" s="64" t="s">
        <v>460</v>
      </c>
      <c r="E54" s="64" t="s">
        <v>461</v>
      </c>
      <c r="F54" s="64" t="s">
        <v>564</v>
      </c>
      <c r="G54" s="64" t="n">
        <v>9345852506</v>
      </c>
      <c r="H54" s="64" t="s">
        <v>565</v>
      </c>
      <c r="I54" s="64" t="s">
        <v>566</v>
      </c>
      <c r="J54" s="64" t="n">
        <v>3.4</v>
      </c>
      <c r="K54" s="64" t="n">
        <v>3.4</v>
      </c>
      <c r="L54" s="64" t="s">
        <v>464</v>
      </c>
      <c r="M54" s="64" t="n">
        <v>4</v>
      </c>
      <c r="N54" s="64" t="n">
        <v>2022</v>
      </c>
    </row>
    <row r="55" customFormat="false" ht="15" hidden="false" customHeight="true" outlineLevel="0" collapsed="false">
      <c r="A55" s="64" t="n">
        <v>54</v>
      </c>
      <c r="B55" s="64"/>
      <c r="C55" s="64" t="s">
        <v>554</v>
      </c>
      <c r="D55" s="64" t="s">
        <v>460</v>
      </c>
      <c r="E55" s="64" t="s">
        <v>461</v>
      </c>
      <c r="F55" s="64" t="s">
        <v>260</v>
      </c>
      <c r="G55" s="64" t="n">
        <v>8789267097</v>
      </c>
      <c r="H55" s="64" t="s">
        <v>567</v>
      </c>
      <c r="I55" s="64" t="s">
        <v>568</v>
      </c>
      <c r="J55" s="64" t="n">
        <v>3.4</v>
      </c>
      <c r="K55" s="64" t="n">
        <v>3.4</v>
      </c>
      <c r="L55" s="64" t="s">
        <v>464</v>
      </c>
      <c r="M55" s="64" t="n">
        <v>6</v>
      </c>
      <c r="N55" s="64" t="n">
        <v>2022</v>
      </c>
    </row>
    <row r="56" customFormat="false" ht="15" hidden="false" customHeight="true" outlineLevel="0" collapsed="false">
      <c r="A56" s="64" t="n">
        <v>55</v>
      </c>
      <c r="B56" s="64"/>
      <c r="C56" s="64" t="s">
        <v>554</v>
      </c>
      <c r="D56" s="64" t="s">
        <v>462</v>
      </c>
      <c r="E56" s="64" t="s">
        <v>461</v>
      </c>
      <c r="F56" s="64" t="s">
        <v>323</v>
      </c>
      <c r="G56" s="64" t="n">
        <v>9664364098</v>
      </c>
      <c r="H56" s="64" t="s">
        <v>569</v>
      </c>
      <c r="I56" s="64" t="s">
        <v>570</v>
      </c>
      <c r="J56" s="64" t="n">
        <v>3.2</v>
      </c>
      <c r="K56" s="64" t="n">
        <v>3.2</v>
      </c>
      <c r="L56" s="64" t="s">
        <v>464</v>
      </c>
      <c r="M56" s="64" t="n">
        <v>5</v>
      </c>
      <c r="N56" s="64" t="n">
        <v>2014</v>
      </c>
    </row>
    <row r="57" customFormat="false" ht="15" hidden="false" customHeight="true" outlineLevel="0" collapsed="false">
      <c r="A57" s="64" t="n">
        <v>56</v>
      </c>
      <c r="B57" s="64"/>
      <c r="C57" s="64" t="s">
        <v>554</v>
      </c>
      <c r="D57" s="64" t="s">
        <v>460</v>
      </c>
      <c r="E57" s="64" t="s">
        <v>461</v>
      </c>
      <c r="F57" s="64" t="s">
        <v>262</v>
      </c>
      <c r="G57" s="64" t="n">
        <v>7306028719</v>
      </c>
      <c r="H57" s="64" t="s">
        <v>571</v>
      </c>
      <c r="I57" s="64" t="s">
        <v>572</v>
      </c>
      <c r="J57" s="64" t="n">
        <v>3</v>
      </c>
      <c r="K57" s="64" t="n">
        <v>3</v>
      </c>
      <c r="L57" s="64" t="s">
        <v>136</v>
      </c>
      <c r="M57" s="64" t="n">
        <v>3</v>
      </c>
      <c r="N57" s="64" t="n">
        <v>2023</v>
      </c>
    </row>
    <row r="58" customFormat="false" ht="15" hidden="false" customHeight="true" outlineLevel="0" collapsed="false">
      <c r="A58" s="64" t="n">
        <v>57</v>
      </c>
      <c r="B58" s="64"/>
      <c r="C58" s="64" t="s">
        <v>554</v>
      </c>
      <c r="D58" s="64" t="s">
        <v>460</v>
      </c>
      <c r="E58" s="64" t="s">
        <v>461</v>
      </c>
      <c r="F58" s="64" t="s">
        <v>263</v>
      </c>
      <c r="G58" s="64" t="n">
        <v>9938464578</v>
      </c>
      <c r="H58" s="64" t="s">
        <v>573</v>
      </c>
      <c r="I58" s="64" t="s">
        <v>574</v>
      </c>
      <c r="J58" s="64" t="n">
        <v>3.1</v>
      </c>
      <c r="K58" s="64" t="n">
        <v>3.1</v>
      </c>
      <c r="L58" s="64" t="s">
        <v>464</v>
      </c>
      <c r="M58" s="64" t="n">
        <v>5</v>
      </c>
      <c r="N58" s="64" t="n">
        <v>2019</v>
      </c>
    </row>
    <row r="59" customFormat="false" ht="15" hidden="false" customHeight="true" outlineLevel="0" collapsed="false">
      <c r="A59" s="64" t="n">
        <v>58</v>
      </c>
      <c r="B59" s="64"/>
      <c r="C59" s="64" t="s">
        <v>554</v>
      </c>
      <c r="D59" s="64" t="s">
        <v>460</v>
      </c>
      <c r="E59" s="64" t="s">
        <v>461</v>
      </c>
      <c r="F59" s="64" t="s">
        <v>313</v>
      </c>
      <c r="G59" s="64" t="n">
        <v>7477361693</v>
      </c>
      <c r="H59" s="64" t="s">
        <v>575</v>
      </c>
      <c r="I59" s="64" t="s">
        <v>576</v>
      </c>
      <c r="J59" s="64" t="n">
        <v>3.3</v>
      </c>
      <c r="K59" s="64" t="n">
        <v>3.3</v>
      </c>
      <c r="L59" s="64" t="s">
        <v>464</v>
      </c>
      <c r="M59" s="64" t="n">
        <v>8</v>
      </c>
      <c r="N59" s="64" t="n">
        <v>2021</v>
      </c>
    </row>
    <row r="60" customFormat="false" ht="15" hidden="false" customHeight="true" outlineLevel="0" collapsed="false">
      <c r="A60" s="64" t="n">
        <v>59</v>
      </c>
      <c r="B60" s="64"/>
      <c r="C60" s="64" t="s">
        <v>554</v>
      </c>
      <c r="D60" s="64" t="s">
        <v>460</v>
      </c>
      <c r="E60" s="64" t="s">
        <v>461</v>
      </c>
      <c r="F60" s="64" t="s">
        <v>378</v>
      </c>
      <c r="G60" s="64" t="n">
        <v>8296590838</v>
      </c>
      <c r="H60" s="64" t="s">
        <v>577</v>
      </c>
      <c r="I60" s="64" t="s">
        <v>578</v>
      </c>
      <c r="J60" s="64" t="n">
        <v>3</v>
      </c>
      <c r="K60" s="64" t="n">
        <v>3</v>
      </c>
      <c r="L60" s="64" t="s">
        <v>464</v>
      </c>
      <c r="M60" s="64" t="n">
        <v>4</v>
      </c>
      <c r="N60" s="64" t="n">
        <v>2019</v>
      </c>
    </row>
    <row r="61" customFormat="false" ht="15" hidden="false" customHeight="true" outlineLevel="0" collapsed="false">
      <c r="A61" s="64" t="n">
        <v>60</v>
      </c>
      <c r="B61" s="64"/>
      <c r="C61" s="64" t="s">
        <v>554</v>
      </c>
      <c r="D61" s="64" t="s">
        <v>460</v>
      </c>
      <c r="E61" s="64" t="s">
        <v>461</v>
      </c>
      <c r="F61" s="64" t="s">
        <v>357</v>
      </c>
      <c r="G61" s="64" t="n">
        <v>8680055956</v>
      </c>
      <c r="H61" s="64" t="s">
        <v>579</v>
      </c>
      <c r="I61" s="64" t="s">
        <v>580</v>
      </c>
      <c r="J61" s="64" t="n">
        <v>2.11</v>
      </c>
      <c r="K61" s="64" t="n">
        <v>2.11</v>
      </c>
      <c r="L61" s="64" t="s">
        <v>136</v>
      </c>
      <c r="M61" s="64" t="n">
        <v>5</v>
      </c>
      <c r="N61" s="64" t="n">
        <v>2022</v>
      </c>
    </row>
    <row r="62" customFormat="false" ht="15" hidden="false" customHeight="true" outlineLevel="0" collapsed="false">
      <c r="A62" s="64" t="n">
        <v>61</v>
      </c>
      <c r="B62" s="64"/>
      <c r="C62" s="64" t="s">
        <v>554</v>
      </c>
      <c r="D62" s="64" t="s">
        <v>460</v>
      </c>
      <c r="E62" s="64" t="s">
        <v>461</v>
      </c>
      <c r="F62" s="64" t="s">
        <v>314</v>
      </c>
      <c r="G62" s="64" t="n">
        <v>7305538559</v>
      </c>
      <c r="H62" s="64" t="s">
        <v>581</v>
      </c>
      <c r="I62" s="64" t="s">
        <v>582</v>
      </c>
      <c r="J62" s="64" t="n">
        <v>4.2</v>
      </c>
      <c r="K62" s="64" t="n">
        <v>4.2</v>
      </c>
      <c r="L62" s="64" t="s">
        <v>464</v>
      </c>
      <c r="M62" s="64" t="n">
        <v>11</v>
      </c>
      <c r="N62" s="64" t="n">
        <v>2021</v>
      </c>
    </row>
    <row r="63" customFormat="false" ht="15" hidden="false" customHeight="true" outlineLevel="0" collapsed="false">
      <c r="A63" s="64" t="n">
        <v>62</v>
      </c>
      <c r="B63" s="64"/>
      <c r="C63" s="64" t="s">
        <v>554</v>
      </c>
      <c r="D63" s="64" t="s">
        <v>460</v>
      </c>
      <c r="E63" s="64" t="s">
        <v>461</v>
      </c>
      <c r="F63" s="64" t="s">
        <v>583</v>
      </c>
      <c r="G63" s="64" t="n">
        <v>8088686575</v>
      </c>
      <c r="H63" s="64" t="s">
        <v>584</v>
      </c>
      <c r="I63" s="64" t="s">
        <v>585</v>
      </c>
      <c r="J63" s="64" t="n">
        <v>2.9</v>
      </c>
      <c r="K63" s="64" t="n">
        <v>2.9</v>
      </c>
      <c r="L63" s="64" t="s">
        <v>464</v>
      </c>
      <c r="M63" s="64" t="n">
        <v>0</v>
      </c>
      <c r="N63" s="64" t="n">
        <v>2024</v>
      </c>
    </row>
    <row r="64" customFormat="false" ht="15" hidden="false" customHeight="true" outlineLevel="0" collapsed="false">
      <c r="A64" s="64" t="n">
        <v>63</v>
      </c>
      <c r="B64" s="64"/>
      <c r="C64" s="64" t="s">
        <v>554</v>
      </c>
      <c r="D64" s="64" t="s">
        <v>478</v>
      </c>
      <c r="E64" s="64" t="s">
        <v>461</v>
      </c>
      <c r="F64" s="64" t="s">
        <v>320</v>
      </c>
      <c r="G64" s="64" t="n">
        <v>8806011017</v>
      </c>
      <c r="H64" s="64" t="s">
        <v>586</v>
      </c>
      <c r="I64" s="64" t="s">
        <v>587</v>
      </c>
      <c r="J64" s="64" t="n">
        <v>4.2</v>
      </c>
      <c r="K64" s="64" t="n">
        <v>4.4</v>
      </c>
      <c r="L64" s="64" t="s">
        <v>464</v>
      </c>
      <c r="M64" s="64" t="n">
        <v>4</v>
      </c>
      <c r="N64" s="64" t="n">
        <v>2020</v>
      </c>
    </row>
    <row r="65" customFormat="false" ht="15" hidden="false" customHeight="true" outlineLevel="0" collapsed="false">
      <c r="A65" s="64" t="n">
        <v>64</v>
      </c>
      <c r="B65" s="64"/>
      <c r="C65" s="64" t="s">
        <v>554</v>
      </c>
      <c r="D65" s="64" t="s">
        <v>460</v>
      </c>
      <c r="E65" s="64" t="s">
        <v>461</v>
      </c>
      <c r="F65" s="64" t="s">
        <v>251</v>
      </c>
      <c r="G65" s="64" t="n">
        <v>8050754599</v>
      </c>
      <c r="H65" s="64" t="s">
        <v>588</v>
      </c>
      <c r="I65" s="64" t="s">
        <v>589</v>
      </c>
      <c r="J65" s="64" t="n">
        <v>3.6</v>
      </c>
      <c r="K65" s="64" t="n">
        <v>3.8</v>
      </c>
      <c r="L65" s="64" t="s">
        <v>464</v>
      </c>
      <c r="M65" s="64" t="n">
        <v>3</v>
      </c>
      <c r="N65" s="64" t="n">
        <v>2020</v>
      </c>
    </row>
    <row r="66" customFormat="false" ht="15" hidden="false" customHeight="true" outlineLevel="0" collapsed="false">
      <c r="A66" s="64" t="n">
        <v>65</v>
      </c>
      <c r="B66" s="64"/>
      <c r="C66" s="64" t="s">
        <v>554</v>
      </c>
      <c r="D66" s="64" t="s">
        <v>460</v>
      </c>
      <c r="E66" s="64" t="s">
        <v>461</v>
      </c>
      <c r="F66" s="64" t="s">
        <v>252</v>
      </c>
      <c r="G66" s="64" t="n">
        <v>7993868402</v>
      </c>
      <c r="H66" s="64" t="s">
        <v>590</v>
      </c>
      <c r="I66" s="64" t="s">
        <v>591</v>
      </c>
      <c r="J66" s="64" t="n">
        <v>3.2</v>
      </c>
      <c r="K66" s="64" t="n">
        <v>3.4</v>
      </c>
      <c r="L66" s="64" t="s">
        <v>464</v>
      </c>
      <c r="M66" s="64" t="n">
        <v>1</v>
      </c>
      <c r="N66" s="64" t="n">
        <v>2023</v>
      </c>
    </row>
    <row r="67" customFormat="false" ht="15" hidden="false" customHeight="true" outlineLevel="0" collapsed="false">
      <c r="A67" s="64" t="n">
        <v>66</v>
      </c>
      <c r="B67" s="64"/>
      <c r="C67" s="64" t="s">
        <v>554</v>
      </c>
      <c r="D67" s="64" t="s">
        <v>460</v>
      </c>
      <c r="E67" s="64" t="s">
        <v>461</v>
      </c>
      <c r="F67" s="64" t="s">
        <v>250</v>
      </c>
      <c r="G67" s="64" t="n">
        <v>7899783195</v>
      </c>
      <c r="H67" s="64" t="s">
        <v>592</v>
      </c>
      <c r="I67" s="64" t="s">
        <v>593</v>
      </c>
      <c r="J67" s="64" t="n">
        <v>3.5</v>
      </c>
      <c r="K67" s="64" t="n">
        <v>3.5</v>
      </c>
      <c r="L67" s="64" t="s">
        <v>136</v>
      </c>
      <c r="M67" s="64" t="n">
        <v>5</v>
      </c>
      <c r="N67" s="64" t="n">
        <v>2020</v>
      </c>
    </row>
    <row r="68" customFormat="false" ht="15" hidden="false" customHeight="true" outlineLevel="0" collapsed="false">
      <c r="A68" s="64" t="n">
        <v>67</v>
      </c>
      <c r="B68" s="64"/>
      <c r="C68" s="64" t="s">
        <v>554</v>
      </c>
      <c r="D68" s="64" t="s">
        <v>478</v>
      </c>
      <c r="E68" s="64" t="s">
        <v>461</v>
      </c>
      <c r="F68" s="64" t="s">
        <v>254</v>
      </c>
      <c r="G68" s="64" t="n">
        <v>7903276571</v>
      </c>
      <c r="H68" s="64" t="s">
        <v>594</v>
      </c>
      <c r="I68" s="64" t="s">
        <v>595</v>
      </c>
      <c r="J68" s="64" t="n">
        <v>3.5</v>
      </c>
      <c r="K68" s="64" t="n">
        <v>3.5</v>
      </c>
      <c r="L68" s="64" t="s">
        <v>464</v>
      </c>
      <c r="M68" s="64" t="n">
        <v>5</v>
      </c>
      <c r="N68" s="64" t="n">
        <v>2021</v>
      </c>
    </row>
    <row r="69" customFormat="false" ht="15" hidden="false" customHeight="true" outlineLevel="0" collapsed="false">
      <c r="A69" s="64" t="n">
        <v>68</v>
      </c>
      <c r="B69" s="64"/>
      <c r="C69" s="64" t="s">
        <v>554</v>
      </c>
      <c r="D69" s="64" t="s">
        <v>460</v>
      </c>
      <c r="E69" s="64" t="s">
        <v>461</v>
      </c>
      <c r="F69" s="64" t="s">
        <v>403</v>
      </c>
      <c r="G69" s="64" t="n">
        <v>9762149234</v>
      </c>
      <c r="H69" s="64" t="s">
        <v>596</v>
      </c>
      <c r="I69" s="64" t="s">
        <v>597</v>
      </c>
      <c r="J69" s="64" t="n">
        <v>4.2</v>
      </c>
      <c r="K69" s="64" t="n">
        <v>4.2</v>
      </c>
      <c r="L69" s="64" t="s">
        <v>464</v>
      </c>
      <c r="M69" s="64" t="n">
        <v>1</v>
      </c>
      <c r="N69" s="64" t="n">
        <v>2019</v>
      </c>
    </row>
    <row r="70" customFormat="false" ht="15" hidden="false" customHeight="true" outlineLevel="0" collapsed="false">
      <c r="A70" s="64" t="n">
        <v>69</v>
      </c>
      <c r="B70" s="64"/>
      <c r="C70" s="64" t="s">
        <v>554</v>
      </c>
      <c r="D70" s="64" t="s">
        <v>598</v>
      </c>
      <c r="E70" s="64" t="s">
        <v>461</v>
      </c>
      <c r="F70" s="64" t="s">
        <v>299</v>
      </c>
      <c r="G70" s="64" t="n">
        <v>9600980388</v>
      </c>
      <c r="H70" s="64" t="s">
        <v>599</v>
      </c>
      <c r="I70" s="64" t="s">
        <v>600</v>
      </c>
      <c r="J70" s="64" t="n">
        <v>4.1</v>
      </c>
      <c r="K70" s="64" t="n">
        <v>4.1</v>
      </c>
      <c r="L70" s="64" t="s">
        <v>464</v>
      </c>
      <c r="M70" s="64" t="n">
        <v>1</v>
      </c>
      <c r="N70" s="64" t="n">
        <v>2022</v>
      </c>
    </row>
    <row r="71" customFormat="false" ht="15" hidden="false" customHeight="true" outlineLevel="0" collapsed="false">
      <c r="A71" s="64" t="n">
        <v>70</v>
      </c>
      <c r="B71" s="64"/>
      <c r="C71" s="64" t="s">
        <v>554</v>
      </c>
      <c r="D71" s="64" t="s">
        <v>460</v>
      </c>
      <c r="E71" s="64" t="s">
        <v>461</v>
      </c>
      <c r="F71" s="64" t="s">
        <v>256</v>
      </c>
      <c r="G71" s="64" t="n">
        <v>8749091320</v>
      </c>
      <c r="H71" s="64" t="s">
        <v>601</v>
      </c>
      <c r="I71" s="64" t="s">
        <v>602</v>
      </c>
      <c r="J71" s="64" t="n">
        <v>3.2</v>
      </c>
      <c r="K71" s="64" t="n">
        <v>3.2</v>
      </c>
      <c r="L71" s="64" t="s">
        <v>464</v>
      </c>
      <c r="M71" s="64" t="n">
        <v>4</v>
      </c>
      <c r="N71" s="64" t="n">
        <v>2022</v>
      </c>
    </row>
    <row r="72" customFormat="false" ht="15" hidden="false" customHeight="true" outlineLevel="0" collapsed="false">
      <c r="A72" s="64" t="n">
        <v>71</v>
      </c>
      <c r="B72" s="64"/>
      <c r="C72" s="64" t="s">
        <v>554</v>
      </c>
      <c r="D72" s="64" t="s">
        <v>460</v>
      </c>
      <c r="E72" s="64" t="s">
        <v>461</v>
      </c>
      <c r="F72" s="64" t="s">
        <v>603</v>
      </c>
      <c r="G72" s="64" t="n">
        <v>9842370976</v>
      </c>
      <c r="H72" s="64" t="s">
        <v>604</v>
      </c>
      <c r="I72" s="64" t="s">
        <v>605</v>
      </c>
      <c r="J72" s="64" t="n">
        <v>3.2</v>
      </c>
      <c r="K72" s="64" t="n">
        <v>3.2</v>
      </c>
      <c r="L72" s="64" t="s">
        <v>464</v>
      </c>
      <c r="M72" s="64" t="n">
        <v>0</v>
      </c>
      <c r="N72" s="64" t="n">
        <v>2014</v>
      </c>
    </row>
    <row r="73" customFormat="false" ht="15" hidden="false" customHeight="true" outlineLevel="0" collapsed="false">
      <c r="A73" s="64" t="n">
        <v>72</v>
      </c>
      <c r="B73" s="64"/>
      <c r="C73" s="64" t="s">
        <v>554</v>
      </c>
      <c r="D73" s="64" t="s">
        <v>460</v>
      </c>
      <c r="E73" s="64" t="s">
        <v>461</v>
      </c>
      <c r="F73" s="64" t="s">
        <v>411</v>
      </c>
      <c r="G73" s="64" t="n">
        <v>6380983900</v>
      </c>
      <c r="H73" s="64" t="s">
        <v>606</v>
      </c>
      <c r="I73" s="64" t="s">
        <v>607</v>
      </c>
      <c r="J73" s="64" t="n">
        <v>3.5</v>
      </c>
      <c r="K73" s="64" t="n">
        <v>3.5</v>
      </c>
      <c r="L73" s="64" t="s">
        <v>464</v>
      </c>
      <c r="M73" s="64" t="n">
        <v>0</v>
      </c>
      <c r="N73" s="64" t="n">
        <v>2021</v>
      </c>
    </row>
    <row r="74" customFormat="false" ht="15" hidden="false" customHeight="true" outlineLevel="0" collapsed="false">
      <c r="A74" s="64" t="n">
        <v>73</v>
      </c>
      <c r="B74" s="64"/>
      <c r="C74" s="64" t="s">
        <v>554</v>
      </c>
      <c r="D74" s="64" t="s">
        <v>460</v>
      </c>
      <c r="E74" s="64" t="s">
        <v>461</v>
      </c>
      <c r="F74" s="64" t="s">
        <v>356</v>
      </c>
      <c r="G74" s="64" t="n">
        <v>8197376168</v>
      </c>
      <c r="H74" s="64" t="s">
        <v>608</v>
      </c>
      <c r="I74" s="64" t="s">
        <v>609</v>
      </c>
      <c r="J74" s="64" t="n">
        <v>2.9</v>
      </c>
      <c r="K74" s="64" t="n">
        <v>2.9</v>
      </c>
      <c r="L74" s="64" t="s">
        <v>136</v>
      </c>
      <c r="M74" s="64" t="n">
        <v>1</v>
      </c>
      <c r="N74" s="64" t="n">
        <v>2022</v>
      </c>
    </row>
    <row r="75" customFormat="false" ht="15" hidden="false" customHeight="true" outlineLevel="0" collapsed="false">
      <c r="A75" s="64" t="n">
        <v>74</v>
      </c>
      <c r="B75" s="64"/>
      <c r="C75" s="64" t="s">
        <v>554</v>
      </c>
      <c r="D75" s="64" t="s">
        <v>460</v>
      </c>
      <c r="E75" s="64" t="s">
        <v>461</v>
      </c>
      <c r="F75" s="64" t="s">
        <v>412</v>
      </c>
      <c r="G75" s="64" t="n">
        <v>6200090992</v>
      </c>
      <c r="H75" s="64" t="s">
        <v>610</v>
      </c>
      <c r="I75" s="64" t="s">
        <v>611</v>
      </c>
      <c r="J75" s="64" t="n">
        <v>4.1</v>
      </c>
      <c r="K75" s="64" t="n">
        <v>4.1</v>
      </c>
      <c r="L75" s="64" t="s">
        <v>464</v>
      </c>
      <c r="M75" s="64" t="n">
        <v>0</v>
      </c>
      <c r="N75" s="64" t="n">
        <v>2022</v>
      </c>
    </row>
    <row r="76" customFormat="false" ht="15" hidden="false" customHeight="true" outlineLevel="0" collapsed="false">
      <c r="A76" s="64" t="n">
        <v>75</v>
      </c>
      <c r="B76" s="64"/>
      <c r="C76" s="64" t="s">
        <v>554</v>
      </c>
      <c r="D76" s="64" t="s">
        <v>460</v>
      </c>
      <c r="E76" s="64" t="s">
        <v>461</v>
      </c>
      <c r="F76" s="64" t="s">
        <v>399</v>
      </c>
      <c r="G76" s="64" t="n">
        <v>9749493369</v>
      </c>
      <c r="H76" s="64" t="s">
        <v>612</v>
      </c>
      <c r="I76" s="64" t="s">
        <v>613</v>
      </c>
      <c r="J76" s="64" t="n">
        <v>3.2</v>
      </c>
      <c r="K76" s="64" t="n">
        <v>3.2</v>
      </c>
      <c r="L76" s="64" t="s">
        <v>464</v>
      </c>
      <c r="M76" s="64" t="n">
        <v>0</v>
      </c>
      <c r="N76" s="64" t="n">
        <v>2023</v>
      </c>
    </row>
    <row r="77" customFormat="false" ht="15" hidden="false" customHeight="true" outlineLevel="0" collapsed="false">
      <c r="A77" s="64" t="n">
        <v>76</v>
      </c>
      <c r="B77" s="64"/>
      <c r="C77" s="64" t="s">
        <v>554</v>
      </c>
      <c r="D77" s="64" t="s">
        <v>460</v>
      </c>
      <c r="E77" s="64" t="s">
        <v>461</v>
      </c>
      <c r="F77" s="64" t="s">
        <v>410</v>
      </c>
      <c r="G77" s="64" t="n">
        <v>9414490041</v>
      </c>
      <c r="H77" s="64" t="s">
        <v>614</v>
      </c>
      <c r="I77" s="64" t="s">
        <v>615</v>
      </c>
      <c r="J77" s="64" t="n">
        <v>4.2</v>
      </c>
      <c r="K77" s="64" t="n">
        <v>4.2</v>
      </c>
      <c r="L77" s="64" t="s">
        <v>464</v>
      </c>
      <c r="M77" s="64" t="n">
        <v>0</v>
      </c>
      <c r="N77" s="64" t="n">
        <v>2021</v>
      </c>
    </row>
    <row r="78" customFormat="false" ht="15" hidden="false" customHeight="true" outlineLevel="0" collapsed="false">
      <c r="A78" s="64" t="n">
        <v>77</v>
      </c>
      <c r="B78" s="64"/>
      <c r="C78" s="64" t="s">
        <v>554</v>
      </c>
      <c r="D78" s="64" t="s">
        <v>460</v>
      </c>
      <c r="E78" s="64" t="s">
        <v>461</v>
      </c>
      <c r="F78" s="64" t="s">
        <v>616</v>
      </c>
      <c r="G78" s="64" t="n">
        <v>9637886063</v>
      </c>
      <c r="H78" s="64" t="s">
        <v>617</v>
      </c>
      <c r="I78" s="64" t="s">
        <v>618</v>
      </c>
      <c r="J78" s="64" t="n">
        <v>4.1</v>
      </c>
      <c r="K78" s="64" t="n">
        <v>4.1</v>
      </c>
      <c r="L78" s="64" t="s">
        <v>464</v>
      </c>
      <c r="M78" s="64"/>
      <c r="N78" s="64" t="n">
        <v>2020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7" min="5" style="1" width="14"/>
    <col collapsed="false" customWidth="true" hidden="false" outlineLevel="0" max="9" min="8" style="1" width="22"/>
  </cols>
  <sheetData>
    <row r="1" customFormat="false" ht="15" hidden="false" customHeight="true" outlineLevel="0" collapsed="false">
      <c r="A1" s="36" t="s">
        <v>619</v>
      </c>
      <c r="B1" s="36" t="s">
        <v>620</v>
      </c>
      <c r="C1" s="36" t="s">
        <v>621</v>
      </c>
      <c r="D1" s="36" t="s">
        <v>622</v>
      </c>
      <c r="E1" s="36" t="s">
        <v>225</v>
      </c>
      <c r="F1" s="36" t="s">
        <v>623</v>
      </c>
      <c r="G1" s="36" t="s">
        <v>79</v>
      </c>
      <c r="H1" s="36" t="s">
        <v>624</v>
      </c>
      <c r="I1" s="36" t="s">
        <v>625</v>
      </c>
    </row>
    <row r="2" customFormat="false" ht="15" hidden="false" customHeight="true" outlineLevel="0" collapsed="false">
      <c r="A2" s="63" t="n">
        <v>46113</v>
      </c>
      <c r="B2" s="65" t="n">
        <v>0.625</v>
      </c>
      <c r="C2" s="64" t="s">
        <v>603</v>
      </c>
      <c r="D2" s="64" t="s">
        <v>626</v>
      </c>
      <c r="E2" s="64" t="s">
        <v>232</v>
      </c>
      <c r="F2" s="64" t="s">
        <v>627</v>
      </c>
      <c r="G2" s="64" t="s">
        <v>227</v>
      </c>
      <c r="H2" s="64" t="s">
        <v>227</v>
      </c>
      <c r="I2" s="64" t="s">
        <v>227</v>
      </c>
    </row>
    <row r="3" customFormat="false" ht="15" hidden="false" customHeight="true" outlineLevel="0" collapsed="false">
      <c r="A3" s="63" t="n">
        <v>46113</v>
      </c>
      <c r="B3" s="65" t="n">
        <v>0.645833333333333</v>
      </c>
      <c r="C3" s="64" t="s">
        <v>321</v>
      </c>
      <c r="D3" s="64" t="s">
        <v>628</v>
      </c>
      <c r="E3" s="64" t="s">
        <v>233</v>
      </c>
      <c r="F3" s="64" t="s">
        <v>627</v>
      </c>
      <c r="G3" s="64" t="s">
        <v>227</v>
      </c>
      <c r="H3" s="64" t="s">
        <v>227</v>
      </c>
      <c r="I3" s="64" t="s">
        <v>227</v>
      </c>
    </row>
    <row r="4" customFormat="false" ht="15" hidden="false" customHeight="true" outlineLevel="0" collapsed="false">
      <c r="A4" s="63" t="n">
        <v>46113</v>
      </c>
      <c r="B4" s="65" t="n">
        <v>0.645833333333333</v>
      </c>
      <c r="C4" s="64" t="s">
        <v>250</v>
      </c>
      <c r="D4" s="64" t="s">
        <v>629</v>
      </c>
      <c r="E4" s="64" t="s">
        <v>233</v>
      </c>
      <c r="F4" s="64" t="s">
        <v>630</v>
      </c>
      <c r="G4" s="64" t="s">
        <v>226</v>
      </c>
      <c r="H4" s="64" t="s">
        <v>226</v>
      </c>
      <c r="I4" s="64" t="s">
        <v>333</v>
      </c>
    </row>
    <row r="5" customFormat="false" ht="15" hidden="false" customHeight="true" outlineLevel="0" collapsed="false">
      <c r="A5" s="63" t="n">
        <v>46113</v>
      </c>
      <c r="B5" s="65" t="n">
        <v>0.666666666666667</v>
      </c>
      <c r="C5" s="64" t="s">
        <v>254</v>
      </c>
      <c r="D5" s="64" t="s">
        <v>631</v>
      </c>
      <c r="E5" s="64" t="s">
        <v>230</v>
      </c>
      <c r="F5" s="64" t="s">
        <v>627</v>
      </c>
      <c r="G5" s="64" t="s">
        <v>226</v>
      </c>
      <c r="H5" s="64" t="s">
        <v>632</v>
      </c>
      <c r="I5" s="64" t="s">
        <v>633</v>
      </c>
    </row>
    <row r="6" customFormat="false" ht="15" hidden="false" customHeight="true" outlineLevel="0" collapsed="false">
      <c r="A6" s="63" t="n">
        <v>46113</v>
      </c>
      <c r="B6" s="65" t="n">
        <v>0.666666666666667</v>
      </c>
      <c r="C6" s="64" t="s">
        <v>262</v>
      </c>
      <c r="D6" s="64" t="s">
        <v>634</v>
      </c>
      <c r="E6" s="64" t="s">
        <v>233</v>
      </c>
      <c r="F6" s="64" t="s">
        <v>630</v>
      </c>
      <c r="G6" s="64" t="s">
        <v>226</v>
      </c>
      <c r="H6" s="64" t="s">
        <v>226</v>
      </c>
      <c r="I6" s="64" t="s">
        <v>633</v>
      </c>
    </row>
    <row r="7" customFormat="false" ht="15" hidden="false" customHeight="true" outlineLevel="0" collapsed="false">
      <c r="A7" s="63" t="n">
        <v>46113</v>
      </c>
      <c r="B7" s="65" t="n">
        <v>0.6875</v>
      </c>
      <c r="C7" s="64" t="s">
        <v>302</v>
      </c>
      <c r="D7" s="64" t="s">
        <v>635</v>
      </c>
      <c r="E7" s="64" t="s">
        <v>231</v>
      </c>
      <c r="F7" s="64" t="s">
        <v>627</v>
      </c>
      <c r="G7" s="64" t="s">
        <v>226</v>
      </c>
      <c r="H7" s="64" t="s">
        <v>462</v>
      </c>
      <c r="I7" s="64" t="s">
        <v>636</v>
      </c>
    </row>
    <row r="8" customFormat="false" ht="15" hidden="false" customHeight="true" outlineLevel="0" collapsed="false">
      <c r="A8" s="63" t="n">
        <v>46113</v>
      </c>
      <c r="B8" s="65" t="n">
        <v>0.708333333333333</v>
      </c>
      <c r="C8" s="64" t="s">
        <v>637</v>
      </c>
      <c r="D8" s="64" t="s">
        <v>634</v>
      </c>
      <c r="E8" s="64" t="s">
        <v>233</v>
      </c>
      <c r="F8" s="64" t="s">
        <v>630</v>
      </c>
      <c r="G8" s="64" t="s">
        <v>226</v>
      </c>
      <c r="H8" s="64" t="s">
        <v>226</v>
      </c>
      <c r="I8" s="64" t="s">
        <v>638</v>
      </c>
    </row>
    <row r="9" customFormat="false" ht="15" hidden="false" customHeight="true" outlineLevel="0" collapsed="false">
      <c r="A9" s="63" t="n">
        <v>46113</v>
      </c>
      <c r="B9" s="65" t="n">
        <v>0.729166666666667</v>
      </c>
      <c r="C9" s="64" t="s">
        <v>532</v>
      </c>
      <c r="D9" s="64" t="s">
        <v>634</v>
      </c>
      <c r="E9" s="64" t="s">
        <v>233</v>
      </c>
      <c r="F9" s="64" t="s">
        <v>630</v>
      </c>
      <c r="G9" s="64" t="s">
        <v>226</v>
      </c>
      <c r="H9" s="64" t="s">
        <v>226</v>
      </c>
      <c r="I9" s="64" t="s">
        <v>633</v>
      </c>
    </row>
    <row r="10" customFormat="false" ht="15" hidden="false" customHeight="true" outlineLevel="0" collapsed="false">
      <c r="A10" s="63" t="n">
        <v>46113</v>
      </c>
      <c r="B10" s="65" t="n">
        <v>0.791666666666667</v>
      </c>
      <c r="C10" s="64" t="s">
        <v>255</v>
      </c>
      <c r="D10" s="64" t="s">
        <v>639</v>
      </c>
      <c r="E10" s="64" t="s">
        <v>230</v>
      </c>
      <c r="F10" s="64" t="s">
        <v>627</v>
      </c>
      <c r="G10" s="64" t="s">
        <v>227</v>
      </c>
      <c r="H10" s="64" t="s">
        <v>227</v>
      </c>
      <c r="I10" s="64" t="s">
        <v>227</v>
      </c>
    </row>
    <row r="11" customFormat="false" ht="15" hidden="false" customHeight="true" outlineLevel="0" collapsed="false">
      <c r="A11" s="63" t="n">
        <v>46113</v>
      </c>
      <c r="B11" s="65" t="n">
        <v>0.833333333333333</v>
      </c>
      <c r="C11" s="64" t="s">
        <v>338</v>
      </c>
      <c r="D11" s="64" t="s">
        <v>639</v>
      </c>
      <c r="E11" s="64" t="s">
        <v>230</v>
      </c>
      <c r="F11" s="64" t="s">
        <v>627</v>
      </c>
      <c r="G11" s="64" t="s">
        <v>226</v>
      </c>
      <c r="H11" s="64" t="s">
        <v>226</v>
      </c>
      <c r="I11" s="64" t="s">
        <v>640</v>
      </c>
    </row>
    <row r="12" customFormat="false" ht="15" hidden="false" customHeight="true" outlineLevel="0" collapsed="false">
      <c r="A12" s="63" t="n">
        <v>46113</v>
      </c>
      <c r="B12" s="65" t="n">
        <v>0.875</v>
      </c>
      <c r="C12" s="64" t="s">
        <v>337</v>
      </c>
      <c r="D12" s="64" t="s">
        <v>639</v>
      </c>
      <c r="E12" s="64" t="s">
        <v>230</v>
      </c>
      <c r="F12" s="64" t="s">
        <v>627</v>
      </c>
      <c r="G12" s="64" t="s">
        <v>226</v>
      </c>
      <c r="H12" s="64" t="s">
        <v>226</v>
      </c>
      <c r="I12" s="64" t="s">
        <v>640</v>
      </c>
    </row>
    <row r="13" customFormat="false" ht="15" hidden="false" customHeight="true" outlineLevel="0" collapsed="false">
      <c r="A13" s="63" t="n">
        <v>46113</v>
      </c>
      <c r="B13" s="65" t="n">
        <v>0.875</v>
      </c>
      <c r="C13" s="64" t="s">
        <v>254</v>
      </c>
      <c r="D13" s="64" t="s">
        <v>639</v>
      </c>
      <c r="E13" s="64" t="s">
        <v>230</v>
      </c>
      <c r="F13" s="64" t="s">
        <v>627</v>
      </c>
      <c r="G13" s="64" t="s">
        <v>227</v>
      </c>
      <c r="H13" s="64" t="s">
        <v>227</v>
      </c>
      <c r="I13" s="64" t="s">
        <v>227</v>
      </c>
    </row>
    <row r="14" customFormat="false" ht="15" hidden="false" customHeight="true" outlineLevel="0" collapsed="false">
      <c r="A14" s="63" t="n">
        <v>46113</v>
      </c>
      <c r="B14" s="65" t="n">
        <v>0.916666666666667</v>
      </c>
      <c r="C14" s="64" t="s">
        <v>256</v>
      </c>
      <c r="D14" s="64" t="s">
        <v>639</v>
      </c>
      <c r="E14" s="64" t="s">
        <v>230</v>
      </c>
      <c r="F14" s="64" t="s">
        <v>627</v>
      </c>
      <c r="G14" s="64" t="s">
        <v>227</v>
      </c>
      <c r="H14" s="64" t="s">
        <v>227</v>
      </c>
      <c r="I14" s="64" t="s">
        <v>227</v>
      </c>
    </row>
    <row r="15" customFormat="false" ht="15" hidden="false" customHeight="true" outlineLevel="0" collapsed="false">
      <c r="A15" s="63" t="n">
        <v>46114</v>
      </c>
      <c r="B15" s="65" t="n">
        <v>0.458333333333333</v>
      </c>
      <c r="C15" s="64" t="s">
        <v>255</v>
      </c>
      <c r="D15" s="64" t="s">
        <v>639</v>
      </c>
      <c r="E15" s="64" t="s">
        <v>230</v>
      </c>
      <c r="F15" s="64" t="s">
        <v>627</v>
      </c>
      <c r="G15" s="64" t="s">
        <v>226</v>
      </c>
      <c r="H15" s="64" t="s">
        <v>226</v>
      </c>
      <c r="I15" s="64" t="s">
        <v>640</v>
      </c>
    </row>
    <row r="16" customFormat="false" ht="15" hidden="false" customHeight="true" outlineLevel="0" collapsed="false">
      <c r="A16" s="63" t="n">
        <v>46114</v>
      </c>
      <c r="B16" s="65" t="n">
        <v>0.583333333333333</v>
      </c>
      <c r="C16" s="64" t="s">
        <v>256</v>
      </c>
      <c r="D16" s="64" t="s">
        <v>639</v>
      </c>
      <c r="E16" s="64" t="s">
        <v>230</v>
      </c>
      <c r="F16" s="64" t="s">
        <v>627</v>
      </c>
      <c r="G16" s="64" t="s">
        <v>226</v>
      </c>
      <c r="H16" s="64" t="s">
        <v>226</v>
      </c>
      <c r="I16" s="64" t="s">
        <v>640</v>
      </c>
    </row>
    <row r="17" customFormat="false" ht="15" hidden="false" customHeight="true" outlineLevel="0" collapsed="false">
      <c r="A17" s="63" t="n">
        <v>46114</v>
      </c>
      <c r="B17" s="65" t="n">
        <v>0.708333333333333</v>
      </c>
      <c r="C17" s="64" t="s">
        <v>321</v>
      </c>
      <c r="D17" s="64" t="s">
        <v>628</v>
      </c>
      <c r="E17" s="64" t="s">
        <v>230</v>
      </c>
      <c r="F17" s="64" t="s">
        <v>627</v>
      </c>
      <c r="G17" s="64" t="s">
        <v>226</v>
      </c>
      <c r="H17" s="64" t="s">
        <v>226</v>
      </c>
      <c r="I17" s="64" t="s">
        <v>641</v>
      </c>
    </row>
    <row r="18" customFormat="false" ht="15" hidden="false" customHeight="true" outlineLevel="0" collapsed="false">
      <c r="A18" s="63" t="n">
        <v>46114</v>
      </c>
      <c r="B18" s="65" t="n">
        <v>0.791666666666667</v>
      </c>
      <c r="C18" s="64" t="s">
        <v>254</v>
      </c>
      <c r="D18" s="64" t="s">
        <v>639</v>
      </c>
      <c r="E18" s="64" t="s">
        <v>230</v>
      </c>
      <c r="F18" s="64" t="s">
        <v>627</v>
      </c>
      <c r="G18" s="64" t="s">
        <v>226</v>
      </c>
      <c r="H18" s="64" t="s">
        <v>226</v>
      </c>
      <c r="I18" s="64" t="s">
        <v>642</v>
      </c>
    </row>
    <row r="19" customFormat="false" ht="15" hidden="false" customHeight="true" outlineLevel="0" collapsed="false">
      <c r="A19" s="63" t="n">
        <v>46115</v>
      </c>
      <c r="B19" s="65" t="n">
        <v>0.458333333333333</v>
      </c>
      <c r="C19" s="64" t="s">
        <v>252</v>
      </c>
      <c r="D19" s="64" t="s">
        <v>643</v>
      </c>
      <c r="E19" s="64" t="s">
        <v>234</v>
      </c>
      <c r="F19" s="64" t="s">
        <v>627</v>
      </c>
      <c r="G19" s="64" t="s">
        <v>227</v>
      </c>
      <c r="H19" s="64" t="s">
        <v>227</v>
      </c>
      <c r="I19" s="64" t="s">
        <v>227</v>
      </c>
    </row>
    <row r="20" customFormat="false" ht="15" hidden="false" customHeight="true" outlineLevel="0" collapsed="false">
      <c r="A20" s="63" t="n">
        <v>46115</v>
      </c>
      <c r="B20" s="65" t="n">
        <v>0.5</v>
      </c>
      <c r="C20" s="64" t="s">
        <v>251</v>
      </c>
      <c r="D20" s="64" t="s">
        <v>643</v>
      </c>
      <c r="E20" s="64" t="s">
        <v>234</v>
      </c>
      <c r="F20" s="64" t="s">
        <v>627</v>
      </c>
      <c r="G20" s="64" t="s">
        <v>226</v>
      </c>
      <c r="H20" s="64" t="s">
        <v>226</v>
      </c>
      <c r="I20" s="64" t="s">
        <v>640</v>
      </c>
    </row>
    <row r="21" customFormat="false" ht="15" hidden="false" customHeight="true" outlineLevel="0" collapsed="false">
      <c r="A21" s="63" t="n">
        <v>46118</v>
      </c>
      <c r="B21" s="65" t="n">
        <v>0.666666666666667</v>
      </c>
      <c r="C21" s="64" t="s">
        <v>512</v>
      </c>
      <c r="D21" s="64" t="s">
        <v>644</v>
      </c>
      <c r="E21" s="64" t="s">
        <v>230</v>
      </c>
      <c r="F21" s="64" t="s">
        <v>645</v>
      </c>
      <c r="G21" s="64" t="s">
        <v>226</v>
      </c>
      <c r="H21" s="64" t="s">
        <v>646</v>
      </c>
      <c r="I21" s="64" t="s">
        <v>633</v>
      </c>
    </row>
    <row r="22" customFormat="false" ht="15" hidden="false" customHeight="true" outlineLevel="0" collapsed="false">
      <c r="A22" s="63" t="n">
        <v>46118</v>
      </c>
      <c r="B22" s="65" t="n">
        <v>0.677083333333333</v>
      </c>
      <c r="C22" s="64" t="s">
        <v>257</v>
      </c>
      <c r="D22" s="64" t="s">
        <v>634</v>
      </c>
      <c r="E22" s="64" t="s">
        <v>233</v>
      </c>
      <c r="F22" s="64" t="s">
        <v>627</v>
      </c>
      <c r="G22" s="64" t="s">
        <v>226</v>
      </c>
      <c r="H22" s="64" t="s">
        <v>226</v>
      </c>
      <c r="I22" s="64" t="s">
        <v>638</v>
      </c>
    </row>
    <row r="23" customFormat="false" ht="15" hidden="false" customHeight="true" outlineLevel="0" collapsed="false">
      <c r="A23" s="63" t="n">
        <v>46118</v>
      </c>
      <c r="B23" s="65" t="n">
        <v>0.6875</v>
      </c>
      <c r="C23" s="64" t="s">
        <v>302</v>
      </c>
      <c r="D23" s="64" t="s">
        <v>647</v>
      </c>
      <c r="E23" s="64" t="s">
        <v>231</v>
      </c>
      <c r="F23" s="64" t="s">
        <v>627</v>
      </c>
      <c r="G23" s="64" t="s">
        <v>226</v>
      </c>
      <c r="H23" s="64" t="s">
        <v>462</v>
      </c>
      <c r="I23" s="64" t="s">
        <v>636</v>
      </c>
    </row>
    <row r="24" customFormat="false" ht="15" hidden="false" customHeight="true" outlineLevel="0" collapsed="false">
      <c r="A24" s="63" t="n">
        <v>46118</v>
      </c>
      <c r="B24" s="65" t="n">
        <v>0.6875</v>
      </c>
      <c r="C24" s="64" t="s">
        <v>263</v>
      </c>
      <c r="D24" s="64" t="s">
        <v>634</v>
      </c>
      <c r="E24" s="64" t="s">
        <v>230</v>
      </c>
      <c r="F24" s="64" t="s">
        <v>627</v>
      </c>
      <c r="G24" s="64" t="s">
        <v>226</v>
      </c>
      <c r="H24" s="64" t="s">
        <v>226</v>
      </c>
      <c r="I24" s="64" t="s">
        <v>633</v>
      </c>
    </row>
    <row r="25" customFormat="false" ht="15" hidden="false" customHeight="true" outlineLevel="0" collapsed="false">
      <c r="A25" s="63" t="n">
        <v>46118</v>
      </c>
      <c r="B25" s="65" t="n">
        <v>0.708333333333333</v>
      </c>
      <c r="C25" s="64" t="s">
        <v>258</v>
      </c>
      <c r="D25" s="64" t="s">
        <v>634</v>
      </c>
      <c r="E25" s="64" t="s">
        <v>230</v>
      </c>
      <c r="F25" s="64" t="s">
        <v>627</v>
      </c>
      <c r="G25" s="64" t="s">
        <v>226</v>
      </c>
      <c r="H25" s="64" t="s">
        <v>226</v>
      </c>
      <c r="I25" s="64" t="s">
        <v>633</v>
      </c>
    </row>
    <row r="26" customFormat="false" ht="15" hidden="false" customHeight="true" outlineLevel="0" collapsed="false">
      <c r="A26" s="63" t="n">
        <v>46118</v>
      </c>
      <c r="B26" s="65" t="n">
        <v>0.729166666666667</v>
      </c>
      <c r="C26" s="64" t="s">
        <v>338</v>
      </c>
      <c r="D26" s="64" t="s">
        <v>634</v>
      </c>
      <c r="E26" s="64" t="s">
        <v>230</v>
      </c>
      <c r="F26" s="64" t="s">
        <v>627</v>
      </c>
      <c r="G26" s="64" t="s">
        <v>226</v>
      </c>
      <c r="H26" s="64" t="s">
        <v>226</v>
      </c>
      <c r="I26" s="64" t="s">
        <v>333</v>
      </c>
    </row>
    <row r="27" customFormat="false" ht="15" hidden="false" customHeight="true" outlineLevel="0" collapsed="false">
      <c r="A27" s="63" t="n">
        <v>46118</v>
      </c>
      <c r="B27" s="65" t="n">
        <v>0.75</v>
      </c>
      <c r="C27" s="64" t="s">
        <v>249</v>
      </c>
      <c r="D27" s="64" t="s">
        <v>644</v>
      </c>
      <c r="E27" s="64" t="s">
        <v>230</v>
      </c>
      <c r="F27" s="64" t="s">
        <v>645</v>
      </c>
      <c r="G27" s="64" t="s">
        <v>226</v>
      </c>
      <c r="H27" s="64" t="s">
        <v>646</v>
      </c>
      <c r="I27" s="64" t="s">
        <v>648</v>
      </c>
    </row>
    <row r="28" customFormat="false" ht="15" hidden="false" customHeight="true" outlineLevel="0" collapsed="false">
      <c r="A28" s="63" t="n">
        <v>46118</v>
      </c>
      <c r="B28" s="65" t="n">
        <v>0.75</v>
      </c>
      <c r="C28" s="64" t="s">
        <v>258</v>
      </c>
      <c r="D28" s="64" t="s">
        <v>644</v>
      </c>
      <c r="E28" s="64" t="s">
        <v>230</v>
      </c>
      <c r="F28" s="64" t="s">
        <v>645</v>
      </c>
      <c r="G28" s="64" t="s">
        <v>226</v>
      </c>
      <c r="H28" s="64" t="s">
        <v>646</v>
      </c>
      <c r="I28" s="64" t="s">
        <v>648</v>
      </c>
    </row>
    <row r="29" customFormat="false" ht="15" hidden="false" customHeight="true" outlineLevel="0" collapsed="false">
      <c r="A29" s="63" t="n">
        <v>46119</v>
      </c>
      <c r="B29" s="65" t="n">
        <v>0.625</v>
      </c>
      <c r="C29" s="64" t="s">
        <v>255</v>
      </c>
      <c r="D29" s="64" t="s">
        <v>644</v>
      </c>
      <c r="E29" s="64" t="s">
        <v>230</v>
      </c>
      <c r="F29" s="64" t="s">
        <v>649</v>
      </c>
      <c r="G29" s="64" t="s">
        <v>226</v>
      </c>
      <c r="H29" s="64" t="s">
        <v>646</v>
      </c>
      <c r="I29" s="64" t="s">
        <v>648</v>
      </c>
    </row>
    <row r="30" customFormat="false" ht="15" hidden="false" customHeight="true" outlineLevel="0" collapsed="false">
      <c r="A30" s="63" t="n">
        <v>46119</v>
      </c>
      <c r="B30" s="65" t="n">
        <v>0.666666666666667</v>
      </c>
      <c r="C30" s="64" t="s">
        <v>650</v>
      </c>
      <c r="D30" s="64" t="s">
        <v>644</v>
      </c>
      <c r="E30" s="64" t="s">
        <v>230</v>
      </c>
      <c r="F30" s="64" t="s">
        <v>649</v>
      </c>
      <c r="G30" s="64" t="s">
        <v>226</v>
      </c>
      <c r="H30" s="64" t="s">
        <v>646</v>
      </c>
      <c r="I30" s="64" t="s">
        <v>648</v>
      </c>
    </row>
    <row r="31" customFormat="false" ht="15" hidden="false" customHeight="true" outlineLevel="0" collapsed="false">
      <c r="A31" s="63" t="n">
        <v>46119</v>
      </c>
      <c r="B31" s="65" t="n">
        <v>0.708333333333333</v>
      </c>
      <c r="C31" s="64" t="s">
        <v>446</v>
      </c>
      <c r="D31" s="64" t="s">
        <v>644</v>
      </c>
      <c r="E31" s="64" t="s">
        <v>230</v>
      </c>
      <c r="F31" s="64" t="s">
        <v>649</v>
      </c>
      <c r="G31" s="64" t="s">
        <v>226</v>
      </c>
      <c r="H31" s="64" t="s">
        <v>646</v>
      </c>
      <c r="I31" s="64" t="s">
        <v>648</v>
      </c>
    </row>
    <row r="32" customFormat="false" ht="15" hidden="false" customHeight="true" outlineLevel="0" collapsed="false">
      <c r="A32" s="63" t="n">
        <v>46120</v>
      </c>
      <c r="B32" s="65" t="n">
        <v>0.4375</v>
      </c>
      <c r="C32" s="64" t="s">
        <v>250</v>
      </c>
      <c r="D32" s="64" t="s">
        <v>629</v>
      </c>
      <c r="E32" s="64" t="s">
        <v>233</v>
      </c>
      <c r="F32" s="64" t="s">
        <v>645</v>
      </c>
      <c r="G32" s="64" t="s">
        <v>226</v>
      </c>
      <c r="H32" s="64" t="s">
        <v>226</v>
      </c>
      <c r="I32" s="64" t="s">
        <v>640</v>
      </c>
    </row>
    <row r="33" customFormat="false" ht="15" hidden="false" customHeight="true" outlineLevel="0" collapsed="false">
      <c r="A33" s="63" t="n">
        <v>46120</v>
      </c>
      <c r="B33" s="65" t="n">
        <v>0.479166666666667</v>
      </c>
      <c r="C33" s="64" t="s">
        <v>532</v>
      </c>
      <c r="D33" s="64" t="s">
        <v>629</v>
      </c>
      <c r="E33" s="64" t="s">
        <v>233</v>
      </c>
      <c r="F33" s="64" t="s">
        <v>645</v>
      </c>
      <c r="G33" s="64" t="s">
        <v>226</v>
      </c>
      <c r="H33" s="64" t="s">
        <v>226</v>
      </c>
      <c r="I33" s="64" t="s">
        <v>640</v>
      </c>
    </row>
    <row r="34" customFormat="false" ht="15" hidden="false" customHeight="true" outlineLevel="0" collapsed="false">
      <c r="A34" s="63" t="n">
        <v>46120</v>
      </c>
      <c r="B34" s="65" t="n">
        <v>0.5625</v>
      </c>
      <c r="C34" s="64" t="s">
        <v>258</v>
      </c>
      <c r="D34" s="64" t="s">
        <v>651</v>
      </c>
      <c r="E34" s="64" t="s">
        <v>230</v>
      </c>
      <c r="F34" s="64" t="s">
        <v>645</v>
      </c>
      <c r="G34" s="64" t="s">
        <v>226</v>
      </c>
      <c r="H34" s="64" t="s">
        <v>226</v>
      </c>
      <c r="I34" s="64" t="s">
        <v>642</v>
      </c>
    </row>
    <row r="35" customFormat="false" ht="15" hidden="false" customHeight="true" outlineLevel="0" collapsed="false">
      <c r="A35" s="63" t="n">
        <v>46120</v>
      </c>
      <c r="B35" s="65" t="n">
        <v>0.645833333333333</v>
      </c>
      <c r="C35" s="64" t="s">
        <v>249</v>
      </c>
      <c r="D35" s="64" t="s">
        <v>651</v>
      </c>
      <c r="E35" s="64" t="s">
        <v>230</v>
      </c>
      <c r="F35" s="64" t="s">
        <v>645</v>
      </c>
      <c r="G35" s="64" t="s">
        <v>226</v>
      </c>
      <c r="H35" s="64" t="s">
        <v>226</v>
      </c>
      <c r="I35" s="64" t="s">
        <v>640</v>
      </c>
    </row>
    <row r="36" customFormat="false" ht="15" hidden="false" customHeight="true" outlineLevel="0" collapsed="false">
      <c r="A36" s="63" t="n">
        <v>46120</v>
      </c>
      <c r="B36" s="65" t="n">
        <v>0.666666666666667</v>
      </c>
      <c r="C36" s="64" t="s">
        <v>512</v>
      </c>
      <c r="D36" s="64" t="s">
        <v>651</v>
      </c>
      <c r="E36" s="64" t="s">
        <v>230</v>
      </c>
      <c r="F36" s="64" t="s">
        <v>645</v>
      </c>
      <c r="G36" s="64" t="s">
        <v>226</v>
      </c>
      <c r="H36" s="64" t="s">
        <v>226</v>
      </c>
      <c r="I36" s="64" t="s">
        <v>642</v>
      </c>
    </row>
    <row r="37" customFormat="false" ht="15" hidden="false" customHeight="true" outlineLevel="0" collapsed="false">
      <c r="A37" s="63" t="n">
        <v>46120</v>
      </c>
      <c r="B37" s="65" t="n">
        <v>0.666666666666667</v>
      </c>
      <c r="C37" s="64" t="s">
        <v>262</v>
      </c>
      <c r="D37" s="64" t="s">
        <v>629</v>
      </c>
      <c r="E37" s="64" t="s">
        <v>233</v>
      </c>
      <c r="F37" s="64" t="s">
        <v>645</v>
      </c>
      <c r="G37" s="64" t="s">
        <v>226</v>
      </c>
      <c r="H37" s="64" t="s">
        <v>226</v>
      </c>
      <c r="I37" s="64" t="s">
        <v>640</v>
      </c>
    </row>
    <row r="38" customFormat="false" ht="15" hidden="false" customHeight="true" outlineLevel="0" collapsed="false">
      <c r="A38" s="63" t="n">
        <v>46120</v>
      </c>
      <c r="B38" s="65" t="n">
        <v>0.708333333333333</v>
      </c>
      <c r="C38" s="64" t="s">
        <v>255</v>
      </c>
      <c r="D38" s="64" t="s">
        <v>651</v>
      </c>
      <c r="E38" s="64" t="s">
        <v>230</v>
      </c>
      <c r="F38" s="64" t="s">
        <v>645</v>
      </c>
      <c r="G38" s="64" t="s">
        <v>226</v>
      </c>
      <c r="H38" s="64" t="s">
        <v>226</v>
      </c>
      <c r="I38" s="64" t="s">
        <v>642</v>
      </c>
    </row>
    <row r="39" customFormat="false" ht="15" hidden="false" customHeight="true" outlineLevel="0" collapsed="false">
      <c r="A39" s="63" t="n">
        <v>46120</v>
      </c>
      <c r="B39" s="65" t="n">
        <v>0.708333333333333</v>
      </c>
      <c r="C39" s="64" t="s">
        <v>253</v>
      </c>
      <c r="D39" s="64" t="s">
        <v>644</v>
      </c>
      <c r="E39" s="64" t="s">
        <v>230</v>
      </c>
      <c r="F39" s="64" t="s">
        <v>649</v>
      </c>
      <c r="G39" s="64" t="s">
        <v>226</v>
      </c>
      <c r="H39" s="64" t="s">
        <v>646</v>
      </c>
      <c r="I39" s="64" t="s">
        <v>648</v>
      </c>
    </row>
    <row r="40" customFormat="false" ht="15" hidden="false" customHeight="true" outlineLevel="0" collapsed="false">
      <c r="A40" s="63" t="n">
        <v>46120</v>
      </c>
      <c r="B40" s="65" t="n">
        <v>0.708333333333333</v>
      </c>
      <c r="C40" s="64" t="s">
        <v>337</v>
      </c>
      <c r="D40" s="64" t="s">
        <v>644</v>
      </c>
      <c r="E40" s="64" t="s">
        <v>230</v>
      </c>
      <c r="F40" s="64" t="s">
        <v>649</v>
      </c>
      <c r="G40" s="64" t="s">
        <v>226</v>
      </c>
      <c r="H40" s="64" t="s">
        <v>646</v>
      </c>
      <c r="I40" s="64" t="s">
        <v>652</v>
      </c>
    </row>
    <row r="41" customFormat="false" ht="15" hidden="false" customHeight="true" outlineLevel="0" collapsed="false">
      <c r="A41" s="63" t="n">
        <v>46120</v>
      </c>
      <c r="B41" s="65" t="n">
        <v>0.708333333333333</v>
      </c>
      <c r="C41" s="64" t="s">
        <v>318</v>
      </c>
      <c r="D41" s="64" t="s">
        <v>644</v>
      </c>
      <c r="E41" s="64" t="s">
        <v>230</v>
      </c>
      <c r="F41" s="64" t="s">
        <v>649</v>
      </c>
      <c r="G41" s="64" t="s">
        <v>226</v>
      </c>
      <c r="H41" s="64" t="s">
        <v>646</v>
      </c>
      <c r="I41" s="64" t="s">
        <v>648</v>
      </c>
    </row>
    <row r="42" customFormat="false" ht="15" hidden="false" customHeight="true" outlineLevel="0" collapsed="false">
      <c r="A42" s="63" t="n">
        <v>46121</v>
      </c>
      <c r="B42" s="65" t="n">
        <v>0.458333333333333</v>
      </c>
      <c r="C42" s="64" t="s">
        <v>637</v>
      </c>
      <c r="D42" s="64" t="s">
        <v>629</v>
      </c>
      <c r="E42" s="64" t="s">
        <v>233</v>
      </c>
      <c r="F42" s="64" t="s">
        <v>645</v>
      </c>
      <c r="G42" s="64" t="s">
        <v>226</v>
      </c>
      <c r="H42" s="64" t="s">
        <v>226</v>
      </c>
      <c r="I42" s="64" t="s">
        <v>640</v>
      </c>
    </row>
    <row r="43" customFormat="false" ht="15" hidden="false" customHeight="true" outlineLevel="0" collapsed="false">
      <c r="A43" s="63" t="n">
        <v>46121</v>
      </c>
      <c r="B43" s="65" t="n">
        <v>0.5</v>
      </c>
      <c r="C43" s="64" t="s">
        <v>320</v>
      </c>
      <c r="D43" s="64" t="s">
        <v>653</v>
      </c>
      <c r="E43" s="64" t="s">
        <v>232</v>
      </c>
      <c r="F43" s="64" t="s">
        <v>627</v>
      </c>
      <c r="G43" s="64" t="s">
        <v>226</v>
      </c>
      <c r="H43" s="64" t="s">
        <v>226</v>
      </c>
      <c r="I43" s="64" t="s">
        <v>640</v>
      </c>
    </row>
    <row r="44" customFormat="false" ht="15" hidden="false" customHeight="true" outlineLevel="0" collapsed="false">
      <c r="A44" s="63" t="n">
        <v>46121</v>
      </c>
      <c r="B44" s="65" t="n">
        <v>0.5</v>
      </c>
      <c r="C44" s="64" t="s">
        <v>259</v>
      </c>
      <c r="D44" s="64" t="s">
        <v>653</v>
      </c>
      <c r="E44" s="64" t="s">
        <v>232</v>
      </c>
      <c r="F44" s="64" t="s">
        <v>627</v>
      </c>
      <c r="G44" s="64" t="s">
        <v>226</v>
      </c>
      <c r="H44" s="64" t="s">
        <v>226</v>
      </c>
      <c r="I44" s="64" t="s">
        <v>640</v>
      </c>
    </row>
    <row r="45" customFormat="false" ht="15" hidden="false" customHeight="true" outlineLevel="0" collapsed="false">
      <c r="A45" s="63" t="n">
        <v>46121</v>
      </c>
      <c r="B45" s="65" t="n">
        <v>0.520833333333333</v>
      </c>
      <c r="C45" s="64" t="s">
        <v>254</v>
      </c>
      <c r="D45" s="64" t="s">
        <v>653</v>
      </c>
      <c r="E45" s="64" t="s">
        <v>232</v>
      </c>
      <c r="F45" s="64" t="s">
        <v>627</v>
      </c>
      <c r="G45" s="64" t="s">
        <v>226</v>
      </c>
      <c r="H45" s="64" t="s">
        <v>226</v>
      </c>
      <c r="I45" s="64" t="s">
        <v>640</v>
      </c>
    </row>
    <row r="46" customFormat="false" ht="15" hidden="false" customHeight="true" outlineLevel="0" collapsed="false">
      <c r="A46" s="63" t="n">
        <v>46121</v>
      </c>
      <c r="B46" s="65" t="n">
        <v>0.520833333333333</v>
      </c>
      <c r="C46" s="64" t="s">
        <v>253</v>
      </c>
      <c r="D46" s="64" t="s">
        <v>653</v>
      </c>
      <c r="E46" s="64" t="s">
        <v>232</v>
      </c>
      <c r="F46" s="64" t="s">
        <v>627</v>
      </c>
      <c r="G46" s="64" t="s">
        <v>226</v>
      </c>
      <c r="H46" s="64" t="s">
        <v>226</v>
      </c>
      <c r="I46" s="64" t="s">
        <v>642</v>
      </c>
    </row>
    <row r="47" customFormat="false" ht="15" hidden="false" customHeight="true" outlineLevel="0" collapsed="false">
      <c r="A47" s="63" t="n">
        <v>46121</v>
      </c>
      <c r="B47" s="65" t="n">
        <v>0.541666666666667</v>
      </c>
      <c r="C47" s="64" t="s">
        <v>323</v>
      </c>
      <c r="D47" s="64" t="s">
        <v>653</v>
      </c>
      <c r="E47" s="64" t="s">
        <v>232</v>
      </c>
      <c r="F47" s="64" t="s">
        <v>627</v>
      </c>
      <c r="G47" s="64" t="s">
        <v>226</v>
      </c>
      <c r="H47" s="64" t="s">
        <v>226</v>
      </c>
      <c r="I47" s="64" t="s">
        <v>640</v>
      </c>
    </row>
    <row r="48" customFormat="false" ht="15" hidden="false" customHeight="true" outlineLevel="0" collapsed="false">
      <c r="A48" s="63" t="n">
        <v>46121</v>
      </c>
      <c r="B48" s="65" t="n">
        <v>0.5625</v>
      </c>
      <c r="C48" s="64" t="s">
        <v>650</v>
      </c>
      <c r="D48" s="64" t="s">
        <v>651</v>
      </c>
      <c r="E48" s="64" t="s">
        <v>230</v>
      </c>
      <c r="F48" s="64" t="s">
        <v>649</v>
      </c>
      <c r="G48" s="64" t="s">
        <v>226</v>
      </c>
      <c r="H48" s="64" t="s">
        <v>226</v>
      </c>
      <c r="I48" s="64" t="s">
        <v>642</v>
      </c>
    </row>
    <row r="49" customFormat="false" ht="15" hidden="false" customHeight="true" outlineLevel="0" collapsed="false">
      <c r="A49" s="63" t="n">
        <v>46121</v>
      </c>
      <c r="B49" s="65" t="n">
        <v>0.583333333333333</v>
      </c>
      <c r="C49" s="64" t="s">
        <v>249</v>
      </c>
      <c r="D49" s="64" t="s">
        <v>654</v>
      </c>
      <c r="E49" s="64" t="s">
        <v>230</v>
      </c>
      <c r="F49" s="64" t="s">
        <v>649</v>
      </c>
      <c r="G49" s="64" t="s">
        <v>226</v>
      </c>
      <c r="H49" s="64" t="s">
        <v>226</v>
      </c>
      <c r="I49" s="64" t="s">
        <v>636</v>
      </c>
    </row>
    <row r="50" customFormat="false" ht="15" hidden="false" customHeight="true" outlineLevel="0" collapsed="false">
      <c r="A50" s="63" t="n">
        <v>46121</v>
      </c>
      <c r="B50" s="65" t="n">
        <v>0.645833333333333</v>
      </c>
      <c r="C50" s="64" t="s">
        <v>446</v>
      </c>
      <c r="D50" s="64" t="s">
        <v>651</v>
      </c>
      <c r="E50" s="64" t="s">
        <v>230</v>
      </c>
      <c r="F50" s="64" t="s">
        <v>649</v>
      </c>
      <c r="G50" s="64" t="s">
        <v>226</v>
      </c>
      <c r="H50" s="64" t="s">
        <v>226</v>
      </c>
      <c r="I50" s="64" t="s">
        <v>642</v>
      </c>
    </row>
    <row r="51" customFormat="false" ht="15" hidden="false" customHeight="true" outlineLevel="0" collapsed="false">
      <c r="A51" s="63" t="n">
        <v>46122</v>
      </c>
      <c r="B51" s="65" t="n">
        <v>0.5</v>
      </c>
      <c r="C51" s="64" t="s">
        <v>320</v>
      </c>
      <c r="D51" s="64" t="s">
        <v>655</v>
      </c>
      <c r="E51" s="64" t="s">
        <v>232</v>
      </c>
      <c r="F51" s="64" t="s">
        <v>627</v>
      </c>
      <c r="G51" s="64" t="s">
        <v>226</v>
      </c>
      <c r="H51" s="64" t="s">
        <v>226</v>
      </c>
      <c r="I51" s="64" t="s">
        <v>636</v>
      </c>
    </row>
    <row r="52" customFormat="false" ht="15" hidden="false" customHeight="true" outlineLevel="0" collapsed="false">
      <c r="A52" s="63" t="n">
        <v>46122</v>
      </c>
      <c r="B52" s="65" t="n">
        <v>0.520833333333333</v>
      </c>
      <c r="C52" s="64" t="s">
        <v>254</v>
      </c>
      <c r="D52" s="64" t="s">
        <v>655</v>
      </c>
      <c r="E52" s="64" t="s">
        <v>232</v>
      </c>
      <c r="F52" s="64" t="s">
        <v>627</v>
      </c>
      <c r="G52" s="64" t="s">
        <v>226</v>
      </c>
      <c r="H52" s="64" t="s">
        <v>226</v>
      </c>
      <c r="I52" s="64" t="s">
        <v>636</v>
      </c>
    </row>
    <row r="53" customFormat="false" ht="15" hidden="false" customHeight="true" outlineLevel="0" collapsed="false">
      <c r="A53" s="63" t="n">
        <v>46122</v>
      </c>
      <c r="B53" s="65" t="n">
        <v>0.604166666666667</v>
      </c>
      <c r="C53" s="64" t="s">
        <v>259</v>
      </c>
      <c r="D53" s="64" t="s">
        <v>655</v>
      </c>
      <c r="E53" s="64" t="s">
        <v>232</v>
      </c>
      <c r="F53" s="64" t="s">
        <v>627</v>
      </c>
      <c r="G53" s="64" t="s">
        <v>226</v>
      </c>
      <c r="H53" s="64" t="s">
        <v>226</v>
      </c>
      <c r="I53" s="64" t="s">
        <v>656</v>
      </c>
    </row>
    <row r="54" customFormat="false" ht="15" hidden="false" customHeight="true" outlineLevel="0" collapsed="false">
      <c r="A54" s="63" t="n">
        <v>46122</v>
      </c>
      <c r="B54" s="65" t="n">
        <v>0.604166666666667</v>
      </c>
      <c r="C54" s="64" t="s">
        <v>323</v>
      </c>
      <c r="D54" s="64" t="s">
        <v>655</v>
      </c>
      <c r="E54" s="64" t="s">
        <v>232</v>
      </c>
      <c r="F54" s="64" t="s">
        <v>627</v>
      </c>
      <c r="G54" s="64" t="s">
        <v>226</v>
      </c>
      <c r="H54" s="64" t="s">
        <v>226</v>
      </c>
      <c r="I54" s="64" t="s">
        <v>636</v>
      </c>
    </row>
    <row r="55" customFormat="false" ht="15" hidden="false" customHeight="true" outlineLevel="0" collapsed="false">
      <c r="A55" s="63" t="n">
        <v>46122</v>
      </c>
      <c r="B55" s="65" t="n">
        <v>0.625</v>
      </c>
      <c r="C55" s="64" t="s">
        <v>259</v>
      </c>
      <c r="D55" s="64" t="s">
        <v>657</v>
      </c>
      <c r="E55" s="64" t="s">
        <v>231</v>
      </c>
      <c r="F55" s="64" t="s">
        <v>627</v>
      </c>
      <c r="G55" s="64" t="s">
        <v>226</v>
      </c>
      <c r="H55" s="64" t="s">
        <v>226</v>
      </c>
      <c r="I55" s="64" t="s">
        <v>636</v>
      </c>
    </row>
    <row r="56" customFormat="false" ht="15" hidden="false" customHeight="true" outlineLevel="0" collapsed="false">
      <c r="A56" s="63" t="n">
        <v>46122</v>
      </c>
      <c r="B56" s="65" t="n">
        <v>0.666666666666667</v>
      </c>
      <c r="C56" s="64" t="s">
        <v>260</v>
      </c>
      <c r="D56" s="64" t="s">
        <v>653</v>
      </c>
      <c r="E56" s="64" t="s">
        <v>232</v>
      </c>
      <c r="F56" s="64" t="s">
        <v>627</v>
      </c>
      <c r="G56" s="64" t="s">
        <v>226</v>
      </c>
      <c r="H56" s="64" t="s">
        <v>226</v>
      </c>
      <c r="I56" s="64" t="s">
        <v>640</v>
      </c>
    </row>
    <row r="57" customFormat="false" ht="15" hidden="false" customHeight="true" outlineLevel="0" collapsed="false">
      <c r="A57" s="63" t="n">
        <v>46122</v>
      </c>
      <c r="B57" s="65" t="n">
        <v>0.666666666666667</v>
      </c>
      <c r="C57" s="64" t="s">
        <v>313</v>
      </c>
      <c r="D57" s="64" t="s">
        <v>653</v>
      </c>
      <c r="E57" s="64" t="s">
        <v>232</v>
      </c>
      <c r="F57" s="64" t="s">
        <v>627</v>
      </c>
      <c r="G57" s="64" t="s">
        <v>226</v>
      </c>
      <c r="H57" s="64" t="s">
        <v>226</v>
      </c>
      <c r="I57" s="64" t="s">
        <v>642</v>
      </c>
    </row>
    <row r="58" customFormat="false" ht="15" hidden="false" customHeight="true" outlineLevel="0" collapsed="false">
      <c r="A58" s="63" t="n">
        <v>46122</v>
      </c>
      <c r="B58" s="65" t="n">
        <v>0.6875</v>
      </c>
      <c r="C58" s="64" t="s">
        <v>322</v>
      </c>
      <c r="D58" s="64" t="s">
        <v>653</v>
      </c>
      <c r="E58" s="64" t="s">
        <v>232</v>
      </c>
      <c r="F58" s="64" t="s">
        <v>627</v>
      </c>
      <c r="G58" s="64" t="s">
        <v>227</v>
      </c>
      <c r="H58" s="64" t="s">
        <v>227</v>
      </c>
      <c r="I58" s="64" t="s">
        <v>227</v>
      </c>
    </row>
    <row r="59" customFormat="false" ht="15" hidden="false" customHeight="true" outlineLevel="0" collapsed="false">
      <c r="A59" s="63" t="n">
        <v>46122</v>
      </c>
      <c r="B59" s="65" t="n">
        <v>0.6875</v>
      </c>
      <c r="C59" s="64" t="s">
        <v>263</v>
      </c>
      <c r="D59" s="64" t="s">
        <v>653</v>
      </c>
      <c r="E59" s="64" t="s">
        <v>232</v>
      </c>
      <c r="F59" s="64" t="s">
        <v>627</v>
      </c>
      <c r="G59" s="64" t="s">
        <v>227</v>
      </c>
      <c r="H59" s="64" t="s">
        <v>227</v>
      </c>
      <c r="I59" s="64" t="s">
        <v>227</v>
      </c>
    </row>
    <row r="60" customFormat="false" ht="15" hidden="false" customHeight="true" outlineLevel="0" collapsed="false">
      <c r="A60" s="63" t="n">
        <v>46122</v>
      </c>
      <c r="B60" s="65" t="n">
        <v>0.697916666666667</v>
      </c>
      <c r="C60" s="64" t="s">
        <v>250</v>
      </c>
      <c r="D60" s="64" t="s">
        <v>658</v>
      </c>
      <c r="E60" s="64" t="s">
        <v>231</v>
      </c>
      <c r="F60" s="64" t="s">
        <v>627</v>
      </c>
      <c r="G60" s="64" t="s">
        <v>226</v>
      </c>
      <c r="H60" s="64" t="s">
        <v>632</v>
      </c>
      <c r="I60" s="64" t="s">
        <v>633</v>
      </c>
    </row>
    <row r="61" customFormat="false" ht="15" hidden="false" customHeight="true" outlineLevel="0" collapsed="false">
      <c r="A61" s="63" t="n">
        <v>46122</v>
      </c>
      <c r="B61" s="65" t="n">
        <v>0.701388888888889</v>
      </c>
      <c r="C61" s="64" t="s">
        <v>357</v>
      </c>
      <c r="D61" s="64" t="s">
        <v>658</v>
      </c>
      <c r="E61" s="64" t="s">
        <v>231</v>
      </c>
      <c r="F61" s="64" t="s">
        <v>627</v>
      </c>
      <c r="G61" s="64" t="s">
        <v>226</v>
      </c>
      <c r="H61" s="64" t="s">
        <v>632</v>
      </c>
      <c r="I61" s="64" t="s">
        <v>633</v>
      </c>
    </row>
    <row r="62" customFormat="false" ht="15" hidden="false" customHeight="true" outlineLevel="0" collapsed="false">
      <c r="A62" s="63" t="n">
        <v>46122</v>
      </c>
      <c r="B62" s="65" t="n">
        <v>0.708333333333333</v>
      </c>
      <c r="C62" s="64" t="s">
        <v>324</v>
      </c>
      <c r="D62" s="64" t="s">
        <v>653</v>
      </c>
      <c r="E62" s="64" t="s">
        <v>232</v>
      </c>
      <c r="F62" s="64" t="s">
        <v>627</v>
      </c>
      <c r="G62" s="64" t="s">
        <v>226</v>
      </c>
      <c r="H62" s="64" t="s">
        <v>226</v>
      </c>
      <c r="I62" s="64" t="s">
        <v>642</v>
      </c>
    </row>
    <row r="63" customFormat="false" ht="15" hidden="false" customHeight="true" outlineLevel="0" collapsed="false">
      <c r="A63" s="63" t="n">
        <v>46123</v>
      </c>
      <c r="B63" s="65" t="n">
        <v>0.666666666666667</v>
      </c>
      <c r="C63" s="64" t="s">
        <v>258</v>
      </c>
      <c r="D63" s="64" t="s">
        <v>629</v>
      </c>
      <c r="E63" s="64" t="s">
        <v>233</v>
      </c>
      <c r="F63" s="64" t="s">
        <v>627</v>
      </c>
      <c r="G63" s="64" t="s">
        <v>226</v>
      </c>
      <c r="H63" s="64" t="s">
        <v>226</v>
      </c>
      <c r="I63" s="64" t="s">
        <v>642</v>
      </c>
    </row>
    <row r="64" customFormat="false" ht="15" hidden="false" customHeight="true" outlineLevel="0" collapsed="false">
      <c r="A64" s="63" t="n">
        <v>46125</v>
      </c>
      <c r="B64" s="65" t="n">
        <v>0.5625</v>
      </c>
      <c r="C64" s="64" t="s">
        <v>318</v>
      </c>
      <c r="D64" s="64" t="s">
        <v>651</v>
      </c>
      <c r="E64" s="64" t="s">
        <v>230</v>
      </c>
      <c r="F64" s="64" t="s">
        <v>649</v>
      </c>
      <c r="G64" s="64" t="s">
        <v>226</v>
      </c>
      <c r="H64" s="64" t="s">
        <v>226</v>
      </c>
      <c r="I64" s="64" t="s">
        <v>642</v>
      </c>
    </row>
    <row r="65" customFormat="false" ht="15" hidden="false" customHeight="true" outlineLevel="0" collapsed="false">
      <c r="A65" s="63" t="n">
        <v>46125</v>
      </c>
      <c r="B65" s="64" t="s">
        <v>659</v>
      </c>
      <c r="C65" s="64" t="s">
        <v>249</v>
      </c>
      <c r="D65" s="64" t="s">
        <v>660</v>
      </c>
      <c r="E65" s="64" t="s">
        <v>230</v>
      </c>
      <c r="F65" s="64" t="s">
        <v>649</v>
      </c>
      <c r="G65" s="64" t="s">
        <v>226</v>
      </c>
      <c r="H65" s="64" t="s">
        <v>226</v>
      </c>
      <c r="I65" s="64" t="s">
        <v>661</v>
      </c>
    </row>
    <row r="66" customFormat="false" ht="15" hidden="false" customHeight="true" outlineLevel="0" collapsed="false">
      <c r="A66" s="63" t="n">
        <v>46125</v>
      </c>
      <c r="B66" s="65" t="n">
        <v>0.645833333333333</v>
      </c>
      <c r="C66" s="64" t="s">
        <v>253</v>
      </c>
      <c r="D66" s="64" t="s">
        <v>651</v>
      </c>
      <c r="E66" s="64" t="s">
        <v>230</v>
      </c>
      <c r="F66" s="64" t="s">
        <v>649</v>
      </c>
      <c r="G66" s="64" t="s">
        <v>226</v>
      </c>
      <c r="H66" s="64" t="s">
        <v>226</v>
      </c>
      <c r="I66" s="64" t="s">
        <v>640</v>
      </c>
    </row>
    <row r="67" customFormat="false" ht="15" hidden="false" customHeight="true" outlineLevel="0" collapsed="false">
      <c r="A67" s="63" t="n">
        <v>46125</v>
      </c>
      <c r="B67" s="65" t="n">
        <v>0.645833333333333</v>
      </c>
      <c r="C67" s="64" t="s">
        <v>481</v>
      </c>
      <c r="D67" s="64" t="s">
        <v>644</v>
      </c>
      <c r="E67" s="64" t="s">
        <v>230</v>
      </c>
      <c r="F67" s="64" t="s">
        <v>649</v>
      </c>
      <c r="G67" s="64" t="s">
        <v>226</v>
      </c>
      <c r="H67" s="64" t="s">
        <v>646</v>
      </c>
      <c r="I67" s="64" t="s">
        <v>652</v>
      </c>
    </row>
    <row r="68" customFormat="false" ht="15" hidden="false" customHeight="true" outlineLevel="0" collapsed="false">
      <c r="A68" s="63" t="n">
        <v>46125</v>
      </c>
      <c r="B68" s="65" t="n">
        <v>0.645833333333333</v>
      </c>
      <c r="C68" s="64" t="s">
        <v>504</v>
      </c>
      <c r="D68" s="64" t="s">
        <v>644</v>
      </c>
      <c r="E68" s="64" t="s">
        <v>230</v>
      </c>
      <c r="F68" s="64" t="s">
        <v>649</v>
      </c>
      <c r="G68" s="64" t="s">
        <v>226</v>
      </c>
      <c r="H68" s="64" t="s">
        <v>646</v>
      </c>
      <c r="I68" s="64" t="s">
        <v>648</v>
      </c>
    </row>
    <row r="69" customFormat="false" ht="15" hidden="false" customHeight="true" outlineLevel="0" collapsed="false">
      <c r="A69" s="63" t="n">
        <v>46125</v>
      </c>
      <c r="B69" s="65" t="n">
        <v>0.645833333333333</v>
      </c>
      <c r="C69" s="64" t="s">
        <v>662</v>
      </c>
      <c r="D69" s="64" t="s">
        <v>644</v>
      </c>
      <c r="E69" s="64" t="s">
        <v>230</v>
      </c>
      <c r="F69" s="64" t="s">
        <v>649</v>
      </c>
      <c r="G69" s="64" t="s">
        <v>226</v>
      </c>
      <c r="H69" s="64" t="s">
        <v>646</v>
      </c>
      <c r="I69" s="64" t="s">
        <v>648</v>
      </c>
    </row>
    <row r="70" customFormat="false" ht="15" hidden="false" customHeight="true" outlineLevel="0" collapsed="false">
      <c r="A70" s="63" t="n">
        <v>46125</v>
      </c>
      <c r="B70" s="65" t="n">
        <v>0.645833333333333</v>
      </c>
      <c r="C70" s="64" t="s">
        <v>357</v>
      </c>
      <c r="D70" s="64" t="s">
        <v>663</v>
      </c>
      <c r="E70" s="64" t="s">
        <v>230</v>
      </c>
      <c r="F70" s="64" t="s">
        <v>649</v>
      </c>
      <c r="G70" s="64" t="s">
        <v>226</v>
      </c>
      <c r="H70" s="64" t="s">
        <v>664</v>
      </c>
      <c r="I70" s="64" t="s">
        <v>633</v>
      </c>
    </row>
    <row r="71" customFormat="false" ht="15" hidden="false" customHeight="true" outlineLevel="0" collapsed="false">
      <c r="A71" s="63" t="n">
        <v>46125</v>
      </c>
      <c r="B71" s="65" t="n">
        <v>0.666666666666667</v>
      </c>
      <c r="C71" s="64" t="s">
        <v>261</v>
      </c>
      <c r="D71" s="64" t="s">
        <v>626</v>
      </c>
      <c r="E71" s="64" t="s">
        <v>232</v>
      </c>
      <c r="F71" s="64" t="s">
        <v>627</v>
      </c>
      <c r="G71" s="64" t="s">
        <v>226</v>
      </c>
      <c r="H71" s="64" t="s">
        <v>226</v>
      </c>
      <c r="I71" s="64" t="s">
        <v>642</v>
      </c>
    </row>
    <row r="72" customFormat="false" ht="15" hidden="false" customHeight="true" outlineLevel="0" collapsed="false">
      <c r="A72" s="63" t="n">
        <v>46125</v>
      </c>
      <c r="B72" s="65" t="n">
        <v>0.666666666666667</v>
      </c>
      <c r="C72" s="64" t="s">
        <v>250</v>
      </c>
      <c r="D72" s="64" t="s">
        <v>663</v>
      </c>
      <c r="E72" s="64" t="s">
        <v>230</v>
      </c>
      <c r="F72" s="64" t="s">
        <v>649</v>
      </c>
      <c r="G72" s="64" t="s">
        <v>226</v>
      </c>
      <c r="H72" s="64" t="s">
        <v>664</v>
      </c>
      <c r="I72" s="64" t="s">
        <v>633</v>
      </c>
    </row>
    <row r="73" customFormat="false" ht="15" hidden="false" customHeight="true" outlineLevel="0" collapsed="false">
      <c r="A73" s="63" t="n">
        <v>46126</v>
      </c>
      <c r="B73" s="64" t="s">
        <v>659</v>
      </c>
      <c r="C73" s="64" t="s">
        <v>259</v>
      </c>
      <c r="D73" s="64" t="s">
        <v>665</v>
      </c>
      <c r="E73" s="64" t="s">
        <v>231</v>
      </c>
      <c r="F73" s="64" t="s">
        <v>627</v>
      </c>
      <c r="G73" s="64" t="s">
        <v>226</v>
      </c>
      <c r="H73" s="64" t="s">
        <v>226</v>
      </c>
      <c r="I73" s="64" t="s">
        <v>666</v>
      </c>
    </row>
    <row r="74" customFormat="false" ht="15" hidden="false" customHeight="true" outlineLevel="0" collapsed="false">
      <c r="A74" s="63" t="n">
        <v>46126</v>
      </c>
      <c r="B74" s="65" t="n">
        <v>0.5</v>
      </c>
      <c r="C74" s="64" t="s">
        <v>250</v>
      </c>
      <c r="D74" s="64" t="s">
        <v>667</v>
      </c>
      <c r="E74" s="64" t="s">
        <v>230</v>
      </c>
      <c r="F74" s="64" t="s">
        <v>645</v>
      </c>
      <c r="G74" s="64" t="s">
        <v>226</v>
      </c>
      <c r="H74" s="64" t="s">
        <v>226</v>
      </c>
      <c r="I74" s="64" t="s">
        <v>668</v>
      </c>
    </row>
    <row r="75" customFormat="false" ht="15" hidden="false" customHeight="true" outlineLevel="0" collapsed="false">
      <c r="A75" s="63" t="n">
        <v>46126</v>
      </c>
      <c r="B75" s="65" t="n">
        <v>0.520833333333333</v>
      </c>
      <c r="C75" s="64" t="s">
        <v>261</v>
      </c>
      <c r="D75" s="64" t="s">
        <v>634</v>
      </c>
      <c r="E75" s="64" t="s">
        <v>233</v>
      </c>
      <c r="F75" s="64" t="s">
        <v>627</v>
      </c>
      <c r="G75" s="64" t="s">
        <v>226</v>
      </c>
      <c r="H75" s="64" t="s">
        <v>226</v>
      </c>
      <c r="I75" s="64"/>
    </row>
    <row r="76" customFormat="false" ht="15" hidden="false" customHeight="true" outlineLevel="0" collapsed="false">
      <c r="A76" s="63" t="n">
        <v>46126</v>
      </c>
      <c r="B76" s="65" t="n">
        <v>0.520833333333333</v>
      </c>
      <c r="C76" s="64" t="s">
        <v>313</v>
      </c>
      <c r="D76" s="64" t="s">
        <v>634</v>
      </c>
      <c r="E76" s="64" t="s">
        <v>233</v>
      </c>
      <c r="F76" s="64" t="s">
        <v>627</v>
      </c>
      <c r="G76" s="64" t="s">
        <v>226</v>
      </c>
      <c r="H76" s="64" t="s">
        <v>226</v>
      </c>
      <c r="I76" s="64"/>
    </row>
    <row r="77" customFormat="false" ht="15" hidden="false" customHeight="true" outlineLevel="0" collapsed="false">
      <c r="A77" s="63" t="n">
        <v>46126</v>
      </c>
      <c r="B77" s="65" t="n">
        <v>0.541666666666667</v>
      </c>
      <c r="C77" s="64" t="s">
        <v>378</v>
      </c>
      <c r="D77" s="64" t="s">
        <v>669</v>
      </c>
      <c r="E77" s="64" t="s">
        <v>231</v>
      </c>
      <c r="F77" s="64" t="s">
        <v>627</v>
      </c>
      <c r="G77" s="64" t="s">
        <v>226</v>
      </c>
      <c r="H77" s="64" t="s">
        <v>226</v>
      </c>
      <c r="I77" s="64" t="s">
        <v>640</v>
      </c>
    </row>
    <row r="78" customFormat="false" ht="15" hidden="false" customHeight="true" outlineLevel="0" collapsed="false">
      <c r="A78" s="63" t="n">
        <v>46126</v>
      </c>
      <c r="B78" s="65" t="n">
        <v>0.583333333333333</v>
      </c>
      <c r="C78" s="64" t="s">
        <v>322</v>
      </c>
      <c r="D78" s="64" t="s">
        <v>669</v>
      </c>
      <c r="E78" s="64" t="s">
        <v>231</v>
      </c>
      <c r="F78" s="64" t="s">
        <v>627</v>
      </c>
      <c r="G78" s="64" t="s">
        <v>226</v>
      </c>
      <c r="H78" s="64" t="s">
        <v>226</v>
      </c>
      <c r="I78" s="64" t="s">
        <v>642</v>
      </c>
    </row>
    <row r="79" customFormat="false" ht="15" hidden="false" customHeight="true" outlineLevel="0" collapsed="false">
      <c r="A79" s="63" t="n">
        <v>46126</v>
      </c>
      <c r="B79" s="65" t="n">
        <v>0.614583333333333</v>
      </c>
      <c r="C79" s="64" t="s">
        <v>356</v>
      </c>
      <c r="D79" s="64" t="s">
        <v>667</v>
      </c>
      <c r="E79" s="64" t="s">
        <v>230</v>
      </c>
      <c r="F79" s="64" t="s">
        <v>645</v>
      </c>
      <c r="G79" s="64" t="s">
        <v>226</v>
      </c>
      <c r="H79" s="64" t="s">
        <v>226</v>
      </c>
      <c r="I79" s="64"/>
    </row>
    <row r="80" customFormat="false" ht="15" hidden="false" customHeight="true" outlineLevel="0" collapsed="false">
      <c r="A80" s="63" t="n">
        <v>46126</v>
      </c>
      <c r="B80" s="65" t="n">
        <v>0.625</v>
      </c>
      <c r="C80" s="64" t="s">
        <v>379</v>
      </c>
      <c r="D80" s="64" t="s">
        <v>669</v>
      </c>
      <c r="E80" s="64" t="s">
        <v>231</v>
      </c>
      <c r="F80" s="64" t="s">
        <v>627</v>
      </c>
      <c r="G80" s="64" t="s">
        <v>226</v>
      </c>
      <c r="H80" s="64" t="s">
        <v>226</v>
      </c>
      <c r="I80" s="64" t="s">
        <v>640</v>
      </c>
    </row>
    <row r="81" customFormat="false" ht="15" hidden="false" customHeight="true" outlineLevel="0" collapsed="false">
      <c r="A81" s="63" t="n">
        <v>46126</v>
      </c>
      <c r="B81" s="65" t="n">
        <v>0.666666666666667</v>
      </c>
      <c r="C81" s="64" t="s">
        <v>251</v>
      </c>
      <c r="D81" s="64" t="s">
        <v>669</v>
      </c>
      <c r="E81" s="64" t="s">
        <v>231</v>
      </c>
      <c r="F81" s="64" t="s">
        <v>627</v>
      </c>
      <c r="G81" s="64" t="s">
        <v>226</v>
      </c>
      <c r="H81" s="64" t="s">
        <v>226</v>
      </c>
      <c r="I81" s="64" t="s">
        <v>640</v>
      </c>
    </row>
    <row r="82" customFormat="false" ht="15" hidden="false" customHeight="true" outlineLevel="0" collapsed="false">
      <c r="A82" s="63" t="n">
        <v>46126</v>
      </c>
      <c r="B82" s="65" t="n">
        <v>0.666666666666667</v>
      </c>
      <c r="C82" s="64" t="s">
        <v>253</v>
      </c>
      <c r="D82" s="64" t="s">
        <v>654</v>
      </c>
      <c r="E82" s="64" t="s">
        <v>231</v>
      </c>
      <c r="F82" s="64" t="s">
        <v>649</v>
      </c>
      <c r="G82" s="64" t="s">
        <v>226</v>
      </c>
      <c r="H82" s="64" t="s">
        <v>226</v>
      </c>
      <c r="I82" s="64" t="s">
        <v>636</v>
      </c>
    </row>
    <row r="83" customFormat="false" ht="15" hidden="false" customHeight="true" outlineLevel="0" collapsed="false">
      <c r="A83" s="63" t="n">
        <v>46126</v>
      </c>
      <c r="B83" s="65" t="n">
        <v>0.673611111111111</v>
      </c>
      <c r="C83" s="64" t="s">
        <v>250</v>
      </c>
      <c r="D83" s="64" t="s">
        <v>670</v>
      </c>
      <c r="E83" s="64" t="s">
        <v>231</v>
      </c>
      <c r="F83" s="64" t="s">
        <v>627</v>
      </c>
      <c r="G83" s="64" t="s">
        <v>226</v>
      </c>
      <c r="H83" s="64" t="s">
        <v>664</v>
      </c>
      <c r="I83" s="64"/>
    </row>
    <row r="84" customFormat="false" ht="15" hidden="false" customHeight="true" outlineLevel="0" collapsed="false">
      <c r="A84" s="63" t="n">
        <v>46126</v>
      </c>
      <c r="B84" s="65" t="n">
        <v>0.673611111111111</v>
      </c>
      <c r="C84" s="64" t="s">
        <v>357</v>
      </c>
      <c r="D84" s="64" t="s">
        <v>670</v>
      </c>
      <c r="E84" s="64" t="s">
        <v>231</v>
      </c>
      <c r="F84" s="64" t="s">
        <v>627</v>
      </c>
      <c r="G84" s="64" t="s">
        <v>226</v>
      </c>
      <c r="H84" s="64" t="s">
        <v>664</v>
      </c>
      <c r="I84" s="64"/>
    </row>
    <row r="85" customFormat="false" ht="15" hidden="false" customHeight="true" outlineLevel="0" collapsed="false">
      <c r="A85" s="63" t="n">
        <v>46127</v>
      </c>
      <c r="B85" s="65" t="n">
        <v>0.5</v>
      </c>
      <c r="C85" s="64" t="s">
        <v>251</v>
      </c>
      <c r="D85" s="64" t="s">
        <v>658</v>
      </c>
      <c r="E85" s="64" t="s">
        <v>231</v>
      </c>
      <c r="F85" s="64" t="s">
        <v>627</v>
      </c>
      <c r="G85" s="64" t="s">
        <v>226</v>
      </c>
      <c r="H85" s="64" t="s">
        <v>226</v>
      </c>
      <c r="I85" s="64" t="s">
        <v>633</v>
      </c>
    </row>
    <row r="86" customFormat="false" ht="15" hidden="false" customHeight="true" outlineLevel="0" collapsed="false">
      <c r="A86" s="63" t="n">
        <v>46127</v>
      </c>
      <c r="B86" s="65" t="n">
        <v>0.5</v>
      </c>
      <c r="C86" s="64" t="s">
        <v>257</v>
      </c>
      <c r="D86" s="64" t="s">
        <v>658</v>
      </c>
      <c r="E86" s="64" t="s">
        <v>231</v>
      </c>
      <c r="F86" s="64" t="s">
        <v>627</v>
      </c>
      <c r="G86" s="64" t="s">
        <v>226</v>
      </c>
      <c r="H86" s="64" t="s">
        <v>226</v>
      </c>
      <c r="I86" s="64" t="s">
        <v>633</v>
      </c>
    </row>
    <row r="87" customFormat="false" ht="15" hidden="false" customHeight="true" outlineLevel="0" collapsed="false">
      <c r="A87" s="63" t="n">
        <v>46127</v>
      </c>
      <c r="B87" s="65" t="n">
        <v>0.5625</v>
      </c>
      <c r="C87" s="64" t="s">
        <v>662</v>
      </c>
      <c r="D87" s="64" t="s">
        <v>651</v>
      </c>
      <c r="E87" s="64" t="s">
        <v>230</v>
      </c>
      <c r="F87" s="64" t="s">
        <v>649</v>
      </c>
      <c r="G87" s="64" t="s">
        <v>226</v>
      </c>
      <c r="H87" s="64" t="s">
        <v>226</v>
      </c>
      <c r="I87" s="64" t="s">
        <v>642</v>
      </c>
    </row>
    <row r="88" customFormat="false" ht="15" hidden="false" customHeight="true" outlineLevel="0" collapsed="false">
      <c r="A88" s="63" t="n">
        <v>46127</v>
      </c>
      <c r="B88" s="65" t="n">
        <v>0.625</v>
      </c>
      <c r="C88" s="64" t="s">
        <v>603</v>
      </c>
      <c r="D88" s="64" t="s">
        <v>626</v>
      </c>
      <c r="E88" s="64" t="s">
        <v>232</v>
      </c>
      <c r="F88" s="64" t="s">
        <v>627</v>
      </c>
      <c r="G88" s="64" t="s">
        <v>227</v>
      </c>
      <c r="H88" s="64" t="s">
        <v>227</v>
      </c>
      <c r="I88" s="64" t="s">
        <v>227</v>
      </c>
    </row>
    <row r="89" customFormat="false" ht="15" hidden="false" customHeight="true" outlineLevel="0" collapsed="false">
      <c r="A89" s="63" t="n">
        <v>46127</v>
      </c>
      <c r="B89" s="65" t="n">
        <v>0.645833333333333</v>
      </c>
      <c r="C89" s="64" t="s">
        <v>504</v>
      </c>
      <c r="D89" s="64" t="s">
        <v>651</v>
      </c>
      <c r="E89" s="64" t="s">
        <v>230</v>
      </c>
      <c r="F89" s="64" t="s">
        <v>649</v>
      </c>
      <c r="G89" s="64" t="s">
        <v>226</v>
      </c>
      <c r="H89" s="64" t="s">
        <v>226</v>
      </c>
      <c r="I89" s="64" t="s">
        <v>642</v>
      </c>
    </row>
    <row r="90" customFormat="false" ht="15" hidden="false" customHeight="true" outlineLevel="0" collapsed="false">
      <c r="A90" s="63" t="n">
        <v>46127</v>
      </c>
      <c r="B90" s="65" t="n">
        <v>0.729166666666667</v>
      </c>
      <c r="C90" s="64" t="s">
        <v>412</v>
      </c>
      <c r="D90" s="64" t="s">
        <v>629</v>
      </c>
      <c r="E90" s="64" t="s">
        <v>233</v>
      </c>
      <c r="F90" s="64" t="s">
        <v>627</v>
      </c>
      <c r="G90" s="64" t="s">
        <v>226</v>
      </c>
      <c r="H90" s="64" t="s">
        <v>226</v>
      </c>
      <c r="I90" s="64" t="s">
        <v>642</v>
      </c>
    </row>
    <row r="91" customFormat="false" ht="15" hidden="false" customHeight="true" outlineLevel="0" collapsed="false">
      <c r="A91" s="63" t="n">
        <v>46128</v>
      </c>
      <c r="B91" s="65" t="n">
        <v>0.375</v>
      </c>
      <c r="C91" s="64" t="s">
        <v>256</v>
      </c>
      <c r="D91" s="64" t="s">
        <v>671</v>
      </c>
      <c r="E91" s="64" t="s">
        <v>231</v>
      </c>
      <c r="F91" s="64" t="s">
        <v>627</v>
      </c>
      <c r="G91" s="64" t="s">
        <v>226</v>
      </c>
      <c r="H91" s="64" t="s">
        <v>226</v>
      </c>
      <c r="I91" s="64" t="s">
        <v>640</v>
      </c>
    </row>
    <row r="92" customFormat="false" ht="15" hidden="false" customHeight="true" outlineLevel="0" collapsed="false">
      <c r="A92" s="63" t="n">
        <v>46128</v>
      </c>
      <c r="B92" s="65" t="n">
        <v>0.5625</v>
      </c>
      <c r="C92" s="64" t="s">
        <v>410</v>
      </c>
      <c r="D92" s="64" t="s">
        <v>669</v>
      </c>
      <c r="E92" s="64" t="s">
        <v>231</v>
      </c>
      <c r="F92" s="64" t="s">
        <v>627</v>
      </c>
      <c r="G92" s="64" t="s">
        <v>226</v>
      </c>
      <c r="H92" s="64" t="s">
        <v>226</v>
      </c>
      <c r="I92" s="64" t="s">
        <v>642</v>
      </c>
    </row>
    <row r="93" customFormat="false" ht="15" hidden="false" customHeight="true" outlineLevel="0" collapsed="false">
      <c r="A93" s="63" t="n">
        <v>46128</v>
      </c>
      <c r="B93" s="65" t="n">
        <v>0.583333333333333</v>
      </c>
      <c r="C93" s="64" t="s">
        <v>262</v>
      </c>
      <c r="D93" s="64" t="s">
        <v>629</v>
      </c>
      <c r="E93" s="64" t="s">
        <v>233</v>
      </c>
      <c r="F93" s="64" t="s">
        <v>645</v>
      </c>
      <c r="G93" s="64" t="s">
        <v>226</v>
      </c>
      <c r="H93" s="64" t="s">
        <v>226</v>
      </c>
      <c r="I93" s="64"/>
    </row>
    <row r="94" customFormat="false" ht="15" hidden="false" customHeight="true" outlineLevel="0" collapsed="false">
      <c r="A94" s="63" t="n">
        <v>46128</v>
      </c>
      <c r="B94" s="64" t="s">
        <v>659</v>
      </c>
      <c r="C94" s="64" t="s">
        <v>253</v>
      </c>
      <c r="D94" s="64" t="s">
        <v>672</v>
      </c>
      <c r="E94" s="64" t="s">
        <v>233</v>
      </c>
      <c r="F94" s="64" t="s">
        <v>645</v>
      </c>
      <c r="G94" s="64" t="s">
        <v>226</v>
      </c>
      <c r="H94" s="64" t="s">
        <v>226</v>
      </c>
      <c r="I94" s="64" t="s">
        <v>673</v>
      </c>
    </row>
    <row r="95" customFormat="false" ht="15" hidden="false" customHeight="true" outlineLevel="0" collapsed="false">
      <c r="A95" s="63" t="n">
        <v>46128</v>
      </c>
      <c r="B95" s="65" t="n">
        <v>0.645833333333333</v>
      </c>
      <c r="C95" s="64" t="s">
        <v>250</v>
      </c>
      <c r="D95" s="64" t="s">
        <v>629</v>
      </c>
      <c r="E95" s="64" t="s">
        <v>233</v>
      </c>
      <c r="F95" s="64" t="s">
        <v>645</v>
      </c>
      <c r="G95" s="64" t="s">
        <v>226</v>
      </c>
      <c r="H95" s="64"/>
      <c r="I95" s="64"/>
    </row>
    <row r="96" customFormat="false" ht="15" hidden="false" customHeight="true" outlineLevel="0" collapsed="false">
      <c r="A96" s="63" t="n">
        <v>46128</v>
      </c>
      <c r="B96" s="65" t="n">
        <v>0.645833333333333</v>
      </c>
      <c r="C96" s="64" t="s">
        <v>408</v>
      </c>
      <c r="D96" s="64" t="s">
        <v>643</v>
      </c>
      <c r="E96" s="64" t="s">
        <v>234</v>
      </c>
      <c r="F96" s="64" t="s">
        <v>645</v>
      </c>
      <c r="G96" s="64" t="s">
        <v>226</v>
      </c>
      <c r="H96" s="64" t="s">
        <v>226</v>
      </c>
      <c r="I96" s="64" t="s">
        <v>642</v>
      </c>
    </row>
    <row r="97" customFormat="false" ht="15" hidden="false" customHeight="true" outlineLevel="0" collapsed="false">
      <c r="A97" s="63" t="n">
        <v>46128</v>
      </c>
      <c r="B97" s="65" t="n">
        <v>0.697916666666667</v>
      </c>
      <c r="C97" s="64" t="s">
        <v>251</v>
      </c>
      <c r="D97" s="64" t="s">
        <v>674</v>
      </c>
      <c r="E97" s="64" t="s">
        <v>231</v>
      </c>
      <c r="F97" s="64" t="s">
        <v>627</v>
      </c>
      <c r="G97" s="64" t="s">
        <v>226</v>
      </c>
      <c r="H97" s="64" t="s">
        <v>226</v>
      </c>
      <c r="I97" s="64"/>
    </row>
    <row r="98" customFormat="false" ht="15" hidden="false" customHeight="true" outlineLevel="0" collapsed="false">
      <c r="A98" s="63" t="n">
        <v>46128</v>
      </c>
      <c r="B98" s="65" t="n">
        <v>0.71875</v>
      </c>
      <c r="C98" s="64" t="s">
        <v>257</v>
      </c>
      <c r="D98" s="64" t="s">
        <v>674</v>
      </c>
      <c r="E98" s="64" t="s">
        <v>231</v>
      </c>
      <c r="F98" s="64" t="s">
        <v>627</v>
      </c>
      <c r="G98" s="64" t="s">
        <v>226</v>
      </c>
      <c r="H98" s="64" t="s">
        <v>226</v>
      </c>
      <c r="I98" s="64"/>
    </row>
    <row r="99" customFormat="false" ht="15" hidden="false" customHeight="true" outlineLevel="0" collapsed="false">
      <c r="A99" s="63" t="n">
        <v>46128</v>
      </c>
      <c r="B99" s="65" t="n">
        <v>0.75</v>
      </c>
      <c r="C99" s="64" t="s">
        <v>252</v>
      </c>
      <c r="D99" s="64" t="s">
        <v>643</v>
      </c>
      <c r="E99" s="64" t="s">
        <v>234</v>
      </c>
      <c r="F99" s="64" t="s">
        <v>627</v>
      </c>
      <c r="G99" s="64" t="s">
        <v>226</v>
      </c>
      <c r="H99" s="64" t="s">
        <v>226</v>
      </c>
      <c r="I99" s="64" t="s">
        <v>642</v>
      </c>
    </row>
    <row r="100" customFormat="false" ht="15" hidden="false" customHeight="true" outlineLevel="0" collapsed="false">
      <c r="A100" s="63" t="n">
        <v>46128</v>
      </c>
      <c r="B100" s="65" t="n">
        <v>0.75</v>
      </c>
      <c r="C100" s="64" t="s">
        <v>249</v>
      </c>
      <c r="D100" s="64" t="s">
        <v>643</v>
      </c>
      <c r="E100" s="64" t="s">
        <v>234</v>
      </c>
      <c r="F100" s="64" t="s">
        <v>675</v>
      </c>
      <c r="G100" s="64" t="s">
        <v>227</v>
      </c>
      <c r="H100" s="64" t="s">
        <v>227</v>
      </c>
      <c r="I100" s="64" t="s">
        <v>227</v>
      </c>
    </row>
    <row r="101" customFormat="false" ht="15" hidden="false" customHeight="true" outlineLevel="0" collapsed="false">
      <c r="A101" s="63" t="n">
        <v>46128</v>
      </c>
      <c r="B101" s="65" t="n">
        <v>0.75</v>
      </c>
      <c r="C101" s="64" t="s">
        <v>676</v>
      </c>
      <c r="D101" s="64" t="s">
        <v>669</v>
      </c>
      <c r="E101" s="64" t="s">
        <v>231</v>
      </c>
      <c r="F101" s="64" t="s">
        <v>627</v>
      </c>
      <c r="G101" s="64" t="s">
        <v>226</v>
      </c>
      <c r="H101" s="64" t="s">
        <v>226</v>
      </c>
      <c r="I101" s="64" t="s">
        <v>642</v>
      </c>
    </row>
    <row r="102" customFormat="false" ht="15" hidden="false" customHeight="true" outlineLevel="0" collapsed="false">
      <c r="A102" s="63" t="n">
        <v>46129</v>
      </c>
      <c r="B102" s="65" t="n">
        <v>0.375</v>
      </c>
      <c r="C102" s="64" t="s">
        <v>677</v>
      </c>
      <c r="D102" s="64" t="s">
        <v>671</v>
      </c>
      <c r="E102" s="64" t="s">
        <v>231</v>
      </c>
      <c r="F102" s="64" t="s">
        <v>627</v>
      </c>
      <c r="G102" s="64" t="s">
        <v>226</v>
      </c>
      <c r="H102" s="64" t="s">
        <v>226</v>
      </c>
      <c r="I102" s="64" t="s">
        <v>678</v>
      </c>
    </row>
    <row r="103" customFormat="false" ht="15" hidden="false" customHeight="true" outlineLevel="0" collapsed="false">
      <c r="A103" s="63" t="n">
        <v>46129</v>
      </c>
      <c r="B103" s="65" t="n">
        <v>0.458333333333333</v>
      </c>
      <c r="C103" s="64" t="s">
        <v>356</v>
      </c>
      <c r="D103" s="64" t="s">
        <v>679</v>
      </c>
      <c r="E103" s="64" t="s">
        <v>231</v>
      </c>
      <c r="F103" s="64" t="s">
        <v>645</v>
      </c>
      <c r="G103" s="64" t="s">
        <v>226</v>
      </c>
      <c r="H103" s="64" t="s">
        <v>226</v>
      </c>
      <c r="I103" s="64" t="s">
        <v>640</v>
      </c>
    </row>
    <row r="104" customFormat="false" ht="15" hidden="false" customHeight="true" outlineLevel="0" collapsed="false">
      <c r="A104" s="63" t="n">
        <v>46129</v>
      </c>
      <c r="B104" s="65" t="n">
        <v>0.5</v>
      </c>
      <c r="C104" s="64" t="s">
        <v>256</v>
      </c>
      <c r="D104" s="64" t="s">
        <v>680</v>
      </c>
      <c r="E104" s="64" t="s">
        <v>231</v>
      </c>
      <c r="F104" s="64" t="s">
        <v>627</v>
      </c>
      <c r="G104" s="64" t="s">
        <v>226</v>
      </c>
      <c r="H104" s="64" t="s">
        <v>681</v>
      </c>
      <c r="I104" s="64" t="s">
        <v>681</v>
      </c>
    </row>
    <row r="105" customFormat="false" ht="15" hidden="false" customHeight="true" outlineLevel="0" collapsed="false">
      <c r="A105" s="63" t="n">
        <v>46129</v>
      </c>
      <c r="B105" s="65" t="n">
        <v>0.75</v>
      </c>
      <c r="C105" s="64" t="s">
        <v>249</v>
      </c>
      <c r="D105" s="64" t="s">
        <v>643</v>
      </c>
      <c r="E105" s="64" t="s">
        <v>234</v>
      </c>
      <c r="F105" s="64" t="s">
        <v>675</v>
      </c>
      <c r="G105" s="64" t="s">
        <v>226</v>
      </c>
      <c r="H105" s="64" t="s">
        <v>226</v>
      </c>
      <c r="I105" s="64" t="s">
        <v>640</v>
      </c>
    </row>
    <row r="106" customFormat="false" ht="15" hidden="false" customHeight="true" outlineLevel="0" collapsed="false">
      <c r="A106" s="63" t="n">
        <v>46132</v>
      </c>
      <c r="B106" s="65" t="n">
        <v>0.625</v>
      </c>
      <c r="C106" s="64" t="s">
        <v>253</v>
      </c>
      <c r="D106" s="64" t="s">
        <v>682</v>
      </c>
      <c r="E106" s="64" t="s">
        <v>230</v>
      </c>
      <c r="F106" s="64" t="s">
        <v>627</v>
      </c>
      <c r="G106" s="64" t="s">
        <v>226</v>
      </c>
      <c r="H106" s="64" t="s">
        <v>226</v>
      </c>
      <c r="I106" s="64" t="s">
        <v>683</v>
      </c>
    </row>
    <row r="107" customFormat="false" ht="15" hidden="false" customHeight="true" outlineLevel="0" collapsed="false">
      <c r="A107" s="63" t="n">
        <v>46132</v>
      </c>
      <c r="B107" s="65" t="n">
        <v>0.625</v>
      </c>
      <c r="C107" s="64" t="s">
        <v>255</v>
      </c>
      <c r="D107" s="64" t="s">
        <v>653</v>
      </c>
      <c r="E107" s="64" t="s">
        <v>232</v>
      </c>
      <c r="F107" s="64" t="s">
        <v>627</v>
      </c>
      <c r="G107" s="64" t="s">
        <v>226</v>
      </c>
      <c r="H107" s="64" t="s">
        <v>226</v>
      </c>
      <c r="I107" s="64" t="s">
        <v>333</v>
      </c>
    </row>
    <row r="108" customFormat="false" ht="15" hidden="false" customHeight="true" outlineLevel="0" collapsed="false">
      <c r="A108" s="63" t="n">
        <v>46132</v>
      </c>
      <c r="B108" s="65" t="n">
        <v>0.635416666666667</v>
      </c>
      <c r="C108" s="64" t="s">
        <v>684</v>
      </c>
      <c r="D108" s="64" t="s">
        <v>653</v>
      </c>
      <c r="E108" s="64" t="s">
        <v>232</v>
      </c>
      <c r="F108" s="64" t="s">
        <v>627</v>
      </c>
      <c r="G108" s="64" t="s">
        <v>226</v>
      </c>
      <c r="H108" s="64" t="s">
        <v>226</v>
      </c>
      <c r="I108" s="64" t="s">
        <v>642</v>
      </c>
    </row>
    <row r="109" customFormat="false" ht="15" hidden="false" customHeight="true" outlineLevel="0" collapsed="false">
      <c r="A109" s="63" t="n">
        <v>46132</v>
      </c>
      <c r="B109" s="65" t="n">
        <v>0.65625</v>
      </c>
      <c r="C109" s="64" t="s">
        <v>252</v>
      </c>
      <c r="D109" s="64" t="s">
        <v>653</v>
      </c>
      <c r="E109" s="64" t="s">
        <v>232</v>
      </c>
      <c r="F109" s="64" t="s">
        <v>627</v>
      </c>
      <c r="G109" s="64" t="s">
        <v>226</v>
      </c>
      <c r="H109" s="64" t="s">
        <v>226</v>
      </c>
      <c r="I109" s="64" t="s">
        <v>642</v>
      </c>
    </row>
    <row r="110" customFormat="false" ht="15" hidden="false" customHeight="true" outlineLevel="0" collapsed="false">
      <c r="A110" s="63" t="n">
        <v>46132</v>
      </c>
      <c r="B110" s="65" t="n">
        <v>0.708333333333333</v>
      </c>
      <c r="C110" s="64" t="s">
        <v>320</v>
      </c>
      <c r="D110" s="64" t="s">
        <v>685</v>
      </c>
      <c r="E110" s="64" t="s">
        <v>232</v>
      </c>
      <c r="F110" s="64" t="s">
        <v>675</v>
      </c>
      <c r="G110" s="64" t="s">
        <v>226</v>
      </c>
      <c r="H110" s="64" t="s">
        <v>226</v>
      </c>
      <c r="I110" s="64" t="s">
        <v>673</v>
      </c>
    </row>
    <row r="111" customFormat="false" ht="15" hidden="false" customHeight="true" outlineLevel="0" collapsed="false">
      <c r="A111" s="63" t="n">
        <v>46132</v>
      </c>
      <c r="B111" s="65" t="n">
        <v>0.729166666666667</v>
      </c>
      <c r="C111" s="64" t="s">
        <v>249</v>
      </c>
      <c r="D111" s="64" t="s">
        <v>686</v>
      </c>
      <c r="E111" s="64" t="s">
        <v>231</v>
      </c>
      <c r="F111" s="64" t="s">
        <v>675</v>
      </c>
      <c r="G111" s="64" t="s">
        <v>226</v>
      </c>
      <c r="H111" s="64" t="s">
        <v>226</v>
      </c>
      <c r="I111" s="64" t="s">
        <v>633</v>
      </c>
    </row>
    <row r="112" customFormat="false" ht="15" hidden="false" customHeight="true" outlineLevel="0" collapsed="false">
      <c r="A112" s="63" t="n">
        <v>46132</v>
      </c>
      <c r="B112" s="65" t="n">
        <v>0.729166666666667</v>
      </c>
      <c r="C112" s="64" t="s">
        <v>251</v>
      </c>
      <c r="D112" s="64" t="s">
        <v>644</v>
      </c>
      <c r="E112" s="64" t="s">
        <v>231</v>
      </c>
      <c r="F112" s="64" t="s">
        <v>675</v>
      </c>
      <c r="G112" s="64" t="s">
        <v>226</v>
      </c>
      <c r="H112" s="64" t="s">
        <v>646</v>
      </c>
      <c r="I112" s="64" t="s">
        <v>648</v>
      </c>
    </row>
    <row r="113" customFormat="false" ht="15" hidden="false" customHeight="true" outlineLevel="0" collapsed="false">
      <c r="A113" s="63" t="n">
        <v>46132</v>
      </c>
      <c r="B113" s="65" t="n">
        <v>0.729166666666667</v>
      </c>
      <c r="C113" s="64" t="s">
        <v>252</v>
      </c>
      <c r="D113" s="64" t="s">
        <v>644</v>
      </c>
      <c r="E113" s="64" t="s">
        <v>231</v>
      </c>
      <c r="F113" s="64" t="s">
        <v>675</v>
      </c>
      <c r="G113" s="64" t="s">
        <v>226</v>
      </c>
      <c r="H113" s="64" t="s">
        <v>646</v>
      </c>
      <c r="I113" s="64" t="s">
        <v>648</v>
      </c>
    </row>
    <row r="114" customFormat="false" ht="15" hidden="false" customHeight="true" outlineLevel="0" collapsed="false">
      <c r="A114" s="63" t="n">
        <v>46132</v>
      </c>
      <c r="B114" s="65" t="n">
        <v>0.729166666666667</v>
      </c>
      <c r="C114" s="64" t="s">
        <v>260</v>
      </c>
      <c r="D114" s="64" t="s">
        <v>644</v>
      </c>
      <c r="E114" s="64" t="s">
        <v>231</v>
      </c>
      <c r="F114" s="64" t="s">
        <v>675</v>
      </c>
      <c r="G114" s="64" t="s">
        <v>226</v>
      </c>
      <c r="H114" s="64" t="s">
        <v>646</v>
      </c>
      <c r="I114" s="64" t="s">
        <v>648</v>
      </c>
    </row>
    <row r="115" customFormat="false" ht="15" hidden="false" customHeight="true" outlineLevel="0" collapsed="false">
      <c r="A115" s="63" t="n">
        <v>46132</v>
      </c>
      <c r="B115" s="65" t="n">
        <v>0.729166666666667</v>
      </c>
      <c r="C115" s="64" t="s">
        <v>261</v>
      </c>
      <c r="D115" s="64" t="s">
        <v>644</v>
      </c>
      <c r="E115" s="64" t="s">
        <v>231</v>
      </c>
      <c r="F115" s="64" t="s">
        <v>675</v>
      </c>
      <c r="G115" s="64" t="s">
        <v>226</v>
      </c>
      <c r="H115" s="64" t="s">
        <v>646</v>
      </c>
      <c r="I115" s="64" t="s">
        <v>648</v>
      </c>
    </row>
    <row r="116" customFormat="false" ht="15" hidden="false" customHeight="true" outlineLevel="0" collapsed="false">
      <c r="A116" s="63" t="n">
        <v>46133</v>
      </c>
      <c r="B116" s="65" t="n">
        <v>0.5</v>
      </c>
      <c r="C116" s="64" t="s">
        <v>249</v>
      </c>
      <c r="D116" s="64" t="s">
        <v>687</v>
      </c>
      <c r="E116" s="64" t="s">
        <v>231</v>
      </c>
      <c r="F116" s="64" t="s">
        <v>675</v>
      </c>
      <c r="G116" s="64" t="s">
        <v>226</v>
      </c>
      <c r="H116" s="64" t="s">
        <v>226</v>
      </c>
      <c r="I116" s="64"/>
    </row>
    <row r="117" customFormat="false" ht="15" hidden="false" customHeight="true" outlineLevel="0" collapsed="false">
      <c r="A117" s="63" t="n">
        <v>46133</v>
      </c>
      <c r="B117" s="65" t="n">
        <v>0.625</v>
      </c>
      <c r="C117" s="64" t="s">
        <v>356</v>
      </c>
      <c r="D117" s="64" t="s">
        <v>688</v>
      </c>
      <c r="E117" s="64" t="s">
        <v>231</v>
      </c>
      <c r="F117" s="64" t="s">
        <v>645</v>
      </c>
      <c r="G117" s="64" t="s">
        <v>226</v>
      </c>
      <c r="H117" s="64" t="s">
        <v>226</v>
      </c>
      <c r="I117" s="64" t="s">
        <v>656</v>
      </c>
    </row>
    <row r="118" customFormat="false" ht="15" hidden="false" customHeight="true" outlineLevel="0" collapsed="false">
      <c r="A118" s="63" t="n">
        <v>46133</v>
      </c>
      <c r="B118" s="65" t="n">
        <v>0.666666666666667</v>
      </c>
      <c r="C118" s="64" t="s">
        <v>676</v>
      </c>
      <c r="D118" s="64" t="s">
        <v>629</v>
      </c>
      <c r="E118" s="64" t="s">
        <v>233</v>
      </c>
      <c r="F118" s="64" t="s">
        <v>627</v>
      </c>
      <c r="G118" s="64" t="s">
        <v>226</v>
      </c>
      <c r="H118" s="64" t="s">
        <v>226</v>
      </c>
      <c r="I118" s="64" t="s">
        <v>642</v>
      </c>
    </row>
    <row r="119" customFormat="false" ht="15" hidden="false" customHeight="true" outlineLevel="0" collapsed="false">
      <c r="A119" s="63" t="n">
        <v>46133</v>
      </c>
      <c r="B119" s="65" t="n">
        <v>0.666666666666667</v>
      </c>
      <c r="C119" s="64" t="s">
        <v>251</v>
      </c>
      <c r="D119" s="64" t="s">
        <v>651</v>
      </c>
      <c r="E119" s="64" t="s">
        <v>230</v>
      </c>
      <c r="F119" s="64" t="s">
        <v>627</v>
      </c>
      <c r="G119" s="64" t="s">
        <v>226</v>
      </c>
      <c r="H119" s="64" t="s">
        <v>226</v>
      </c>
      <c r="I119" s="64" t="s">
        <v>640</v>
      </c>
    </row>
    <row r="120" customFormat="false" ht="15" hidden="false" customHeight="true" outlineLevel="0" collapsed="false">
      <c r="A120" s="63" t="n">
        <v>46133</v>
      </c>
      <c r="B120" s="65" t="n">
        <v>0.708333333333333</v>
      </c>
      <c r="C120" s="64" t="s">
        <v>260</v>
      </c>
      <c r="D120" s="64" t="s">
        <v>655</v>
      </c>
      <c r="E120" s="64" t="s">
        <v>232</v>
      </c>
      <c r="F120" s="64" t="s">
        <v>627</v>
      </c>
      <c r="G120" s="64" t="s">
        <v>226</v>
      </c>
      <c r="H120" s="64" t="s">
        <v>226</v>
      </c>
      <c r="I120" s="64"/>
    </row>
    <row r="121" customFormat="false" ht="15" hidden="false" customHeight="true" outlineLevel="0" collapsed="false">
      <c r="A121" s="63" t="n">
        <v>46133</v>
      </c>
      <c r="B121" s="65" t="n">
        <v>0.75</v>
      </c>
      <c r="C121" s="64" t="s">
        <v>249</v>
      </c>
      <c r="D121" s="64" t="s">
        <v>689</v>
      </c>
      <c r="E121" s="64" t="s">
        <v>234</v>
      </c>
      <c r="F121" s="64" t="s">
        <v>675</v>
      </c>
      <c r="G121" s="64" t="s">
        <v>226</v>
      </c>
      <c r="H121" s="64" t="s">
        <v>226</v>
      </c>
      <c r="I121" s="64"/>
    </row>
    <row r="122" customFormat="false" ht="15" hidden="false" customHeight="true" outlineLevel="0" collapsed="false">
      <c r="A122" s="63" t="n">
        <v>46133</v>
      </c>
      <c r="B122" s="65" t="n">
        <v>0.75</v>
      </c>
      <c r="C122" s="64" t="s">
        <v>257</v>
      </c>
      <c r="D122" s="64" t="s">
        <v>643</v>
      </c>
      <c r="E122" s="64" t="s">
        <v>234</v>
      </c>
      <c r="F122" s="64" t="s">
        <v>627</v>
      </c>
      <c r="G122" s="64" t="s">
        <v>227</v>
      </c>
      <c r="H122" s="64" t="s">
        <v>227</v>
      </c>
      <c r="I122" s="64" t="s">
        <v>227</v>
      </c>
    </row>
    <row r="123" customFormat="false" ht="15" hidden="false" customHeight="true" outlineLevel="0" collapsed="false">
      <c r="A123" s="63" t="n">
        <v>46134</v>
      </c>
      <c r="B123" s="65" t="n">
        <v>0.458333333333333</v>
      </c>
      <c r="C123" s="64" t="s">
        <v>412</v>
      </c>
      <c r="D123" s="64" t="s">
        <v>669</v>
      </c>
      <c r="E123" s="64" t="s">
        <v>231</v>
      </c>
      <c r="F123" s="64" t="s">
        <v>627</v>
      </c>
      <c r="G123" s="64" t="s">
        <v>226</v>
      </c>
      <c r="H123" s="64" t="s">
        <v>226</v>
      </c>
      <c r="I123" s="64"/>
    </row>
    <row r="124" customFormat="false" ht="15" hidden="false" customHeight="true" outlineLevel="0" collapsed="false">
      <c r="A124" s="63" t="n">
        <v>46134</v>
      </c>
      <c r="B124" s="65" t="n">
        <v>0.479166666666667</v>
      </c>
      <c r="C124" s="64" t="s">
        <v>379</v>
      </c>
      <c r="D124" s="64" t="s">
        <v>626</v>
      </c>
      <c r="E124" s="64" t="s">
        <v>232</v>
      </c>
      <c r="F124" s="64" t="s">
        <v>690</v>
      </c>
      <c r="G124" s="64" t="s">
        <v>226</v>
      </c>
      <c r="H124" s="64" t="s">
        <v>226</v>
      </c>
      <c r="I124" s="64" t="s">
        <v>642</v>
      </c>
    </row>
    <row r="125" customFormat="false" ht="15" hidden="false" customHeight="true" outlineLevel="0" collapsed="false">
      <c r="A125" s="63" t="n">
        <v>46134</v>
      </c>
      <c r="B125" s="65" t="n">
        <v>0.5</v>
      </c>
      <c r="C125" s="64" t="s">
        <v>691</v>
      </c>
      <c r="D125" s="64" t="s">
        <v>669</v>
      </c>
      <c r="E125" s="64" t="s">
        <v>231</v>
      </c>
      <c r="F125" s="64" t="s">
        <v>627</v>
      </c>
      <c r="G125" s="64" t="s">
        <v>226</v>
      </c>
      <c r="H125" s="64" t="s">
        <v>226</v>
      </c>
      <c r="I125" s="64"/>
    </row>
    <row r="126" customFormat="false" ht="15" hidden="false" customHeight="true" outlineLevel="0" collapsed="false">
      <c r="A126" s="63" t="n">
        <v>46134</v>
      </c>
      <c r="B126" s="65" t="n">
        <v>0.5625</v>
      </c>
      <c r="C126" s="64" t="s">
        <v>252</v>
      </c>
      <c r="D126" s="64" t="s">
        <v>651</v>
      </c>
      <c r="E126" s="64" t="s">
        <v>230</v>
      </c>
      <c r="F126" s="64" t="s">
        <v>627</v>
      </c>
      <c r="G126" s="64" t="s">
        <v>226</v>
      </c>
      <c r="H126" s="64" t="s">
        <v>226</v>
      </c>
      <c r="I126" s="64" t="s">
        <v>640</v>
      </c>
    </row>
    <row r="127" customFormat="false" ht="15" hidden="false" customHeight="true" outlineLevel="0" collapsed="false">
      <c r="A127" s="63" t="n">
        <v>46134</v>
      </c>
      <c r="B127" s="65" t="n">
        <v>0.625</v>
      </c>
      <c r="C127" s="64" t="s">
        <v>251</v>
      </c>
      <c r="D127" s="64" t="s">
        <v>654</v>
      </c>
      <c r="E127" s="64" t="s">
        <v>230</v>
      </c>
      <c r="F127" s="64" t="s">
        <v>627</v>
      </c>
      <c r="G127" s="64" t="s">
        <v>226</v>
      </c>
      <c r="H127" s="64" t="s">
        <v>226</v>
      </c>
      <c r="I127" s="64" t="s">
        <v>656</v>
      </c>
    </row>
    <row r="128" customFormat="false" ht="15" hidden="false" customHeight="true" outlineLevel="0" collapsed="false">
      <c r="A128" s="63" t="n">
        <v>46134</v>
      </c>
      <c r="B128" s="65" t="n">
        <v>0.645833333333333</v>
      </c>
      <c r="C128" s="64" t="s">
        <v>260</v>
      </c>
      <c r="D128" s="64" t="s">
        <v>651</v>
      </c>
      <c r="E128" s="64" t="s">
        <v>230</v>
      </c>
      <c r="F128" s="64" t="s">
        <v>627</v>
      </c>
      <c r="G128" s="64" t="s">
        <v>226</v>
      </c>
      <c r="H128" s="64" t="s">
        <v>226</v>
      </c>
      <c r="I128" s="64" t="s">
        <v>642</v>
      </c>
    </row>
    <row r="129" customFormat="false" ht="15" hidden="false" customHeight="true" outlineLevel="0" collapsed="false">
      <c r="A129" s="63" t="n">
        <v>46134</v>
      </c>
      <c r="B129" s="65" t="n">
        <v>0.645833333333333</v>
      </c>
      <c r="C129" s="64" t="s">
        <v>261</v>
      </c>
      <c r="D129" s="64" t="s">
        <v>651</v>
      </c>
      <c r="E129" s="64" t="s">
        <v>230</v>
      </c>
      <c r="F129" s="64" t="s">
        <v>627</v>
      </c>
      <c r="G129" s="64" t="s">
        <v>226</v>
      </c>
      <c r="H129" s="64"/>
      <c r="I129" s="64"/>
    </row>
    <row r="130" customFormat="false" ht="15" hidden="false" customHeight="true" outlineLevel="0" collapsed="false">
      <c r="A130" s="63" t="n">
        <v>46134</v>
      </c>
      <c r="B130" s="65" t="n">
        <v>0.75</v>
      </c>
      <c r="C130" s="64" t="s">
        <v>257</v>
      </c>
      <c r="D130" s="64" t="s">
        <v>643</v>
      </c>
      <c r="E130" s="64" t="s">
        <v>234</v>
      </c>
      <c r="F130" s="64" t="s">
        <v>627</v>
      </c>
      <c r="G130" s="64" t="s">
        <v>227</v>
      </c>
      <c r="H130" s="64"/>
      <c r="I130" s="64"/>
    </row>
    <row r="131" customFormat="false" ht="15" hidden="false" customHeight="true" outlineLevel="0" collapsed="false">
      <c r="A131" s="63" t="n">
        <v>46135</v>
      </c>
      <c r="B131" s="65" t="n">
        <v>0.5</v>
      </c>
      <c r="C131" s="64" t="s">
        <v>249</v>
      </c>
      <c r="D131" s="64" t="s">
        <v>692</v>
      </c>
      <c r="E131" s="64" t="s">
        <v>234</v>
      </c>
      <c r="F131" s="64" t="s">
        <v>627</v>
      </c>
      <c r="G131" s="64" t="s">
        <v>226</v>
      </c>
      <c r="H131" s="64"/>
      <c r="I131" s="64" t="s">
        <v>199</v>
      </c>
    </row>
    <row r="132" customFormat="false" ht="15" hidden="false" customHeight="true" outlineLevel="0" collapsed="false">
      <c r="A132" s="63" t="n">
        <v>46135</v>
      </c>
      <c r="B132" s="65" t="n">
        <v>0.625</v>
      </c>
      <c r="C132" s="64" t="s">
        <v>252</v>
      </c>
      <c r="D132" s="64" t="s">
        <v>654</v>
      </c>
      <c r="E132" s="64" t="s">
        <v>230</v>
      </c>
      <c r="F132" s="64" t="s">
        <v>627</v>
      </c>
      <c r="G132" s="64" t="s">
        <v>226</v>
      </c>
      <c r="H132" s="64"/>
      <c r="I132" s="64" t="s">
        <v>636</v>
      </c>
    </row>
    <row r="133" customFormat="false" ht="15" hidden="false" customHeight="true" outlineLevel="0" collapsed="false">
      <c r="A133" s="63" t="n">
        <v>46135</v>
      </c>
      <c r="B133" s="65" t="n">
        <v>0.625</v>
      </c>
      <c r="C133" s="64" t="s">
        <v>313</v>
      </c>
      <c r="D133" s="64" t="s">
        <v>644</v>
      </c>
      <c r="E133" s="64" t="s">
        <v>230</v>
      </c>
      <c r="F133" s="64" t="s">
        <v>627</v>
      </c>
      <c r="G133" s="64" t="s">
        <v>226</v>
      </c>
      <c r="H133" s="64"/>
      <c r="I133" s="64"/>
    </row>
    <row r="134" customFormat="false" ht="15" hidden="false" customHeight="true" outlineLevel="0" collapsed="false">
      <c r="A134" s="63" t="n">
        <v>46135</v>
      </c>
      <c r="B134" s="65" t="n">
        <v>0.625</v>
      </c>
      <c r="C134" s="64" t="s">
        <v>256</v>
      </c>
      <c r="D134" s="64" t="s">
        <v>644</v>
      </c>
      <c r="E134" s="64" t="s">
        <v>230</v>
      </c>
      <c r="F134" s="64" t="s">
        <v>627</v>
      </c>
      <c r="G134" s="64" t="s">
        <v>226</v>
      </c>
      <c r="H134" s="64"/>
      <c r="I134" s="64"/>
    </row>
    <row r="135" customFormat="false" ht="15" hidden="false" customHeight="true" outlineLevel="0" collapsed="false">
      <c r="A135" s="63" t="n">
        <v>46135</v>
      </c>
      <c r="B135" s="65" t="n">
        <v>0.625</v>
      </c>
      <c r="C135" s="64" t="s">
        <v>263</v>
      </c>
      <c r="D135" s="64" t="s">
        <v>644</v>
      </c>
      <c r="E135" s="64" t="s">
        <v>230</v>
      </c>
      <c r="F135" s="64" t="s">
        <v>627</v>
      </c>
      <c r="G135" s="64" t="s">
        <v>226</v>
      </c>
      <c r="H135" s="64"/>
      <c r="I135" s="6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32"/>
  </cols>
  <sheetData>
    <row r="1" customFormat="false" ht="15" hidden="false" customHeight="true" outlineLevel="0" collapsed="false">
      <c r="A1" s="36" t="s">
        <v>693</v>
      </c>
      <c r="B1" s="36" t="s">
        <v>694</v>
      </c>
      <c r="C1" s="36" t="s">
        <v>695</v>
      </c>
      <c r="D1" s="36" t="s">
        <v>619</v>
      </c>
      <c r="E1" s="36" t="s">
        <v>620</v>
      </c>
      <c r="F1" s="36" t="s">
        <v>236</v>
      </c>
      <c r="G1" s="36" t="s">
        <v>79</v>
      </c>
    </row>
    <row r="2" customFormat="false" ht="15" hidden="false" customHeight="true" outlineLevel="0" collapsed="false">
      <c r="A2" s="64" t="s">
        <v>347</v>
      </c>
      <c r="B2" s="64" t="s">
        <v>696</v>
      </c>
      <c r="C2" s="64" t="s">
        <v>697</v>
      </c>
      <c r="D2" s="63" t="n">
        <v>46114</v>
      </c>
      <c r="E2" s="65" t="n">
        <v>0.666667002314815</v>
      </c>
      <c r="F2" s="64" t="s">
        <v>239</v>
      </c>
      <c r="G2" s="64" t="s">
        <v>698</v>
      </c>
    </row>
    <row r="3" customFormat="false" ht="15" hidden="false" customHeight="true" outlineLevel="0" collapsed="false">
      <c r="A3" s="64" t="s">
        <v>699</v>
      </c>
      <c r="B3" s="64" t="s">
        <v>700</v>
      </c>
      <c r="C3" s="64" t="s">
        <v>701</v>
      </c>
      <c r="D3" s="63" t="n">
        <v>46114</v>
      </c>
      <c r="E3" s="65" t="n">
        <v>0.708332997685185</v>
      </c>
      <c r="F3" s="64" t="s">
        <v>240</v>
      </c>
      <c r="G3" s="64" t="s">
        <v>702</v>
      </c>
    </row>
    <row r="4" customFormat="false" ht="15" hidden="false" customHeight="true" outlineLevel="0" collapsed="false">
      <c r="A4" s="64" t="s">
        <v>703</v>
      </c>
      <c r="B4" s="64" t="s">
        <v>704</v>
      </c>
      <c r="C4" s="64" t="s">
        <v>705</v>
      </c>
      <c r="D4" s="63" t="n">
        <v>46114</v>
      </c>
      <c r="E4" s="65" t="n">
        <v>0.708332997685185</v>
      </c>
      <c r="F4" s="64" t="s">
        <v>240</v>
      </c>
      <c r="G4" s="64" t="s">
        <v>706</v>
      </c>
    </row>
    <row r="5" customFormat="false" ht="15" hidden="false" customHeight="true" outlineLevel="0" collapsed="false">
      <c r="A5" s="64" t="s">
        <v>707</v>
      </c>
      <c r="B5" s="64" t="s">
        <v>708</v>
      </c>
      <c r="C5" s="64" t="s">
        <v>709</v>
      </c>
      <c r="D5" s="63" t="n">
        <v>46115</v>
      </c>
      <c r="E5" s="65" t="n">
        <v>0.541667002314815</v>
      </c>
      <c r="F5" s="64" t="s">
        <v>238</v>
      </c>
      <c r="G5" s="64" t="s">
        <v>710</v>
      </c>
    </row>
    <row r="6" customFormat="false" ht="15" hidden="false" customHeight="true" outlineLevel="0" collapsed="false">
      <c r="A6" s="64" t="s">
        <v>711</v>
      </c>
      <c r="B6" s="64" t="s">
        <v>127</v>
      </c>
      <c r="C6" s="64" t="s">
        <v>172</v>
      </c>
      <c r="D6" s="63" t="n">
        <v>46120</v>
      </c>
      <c r="E6" s="65" t="n">
        <v>0.541667002314815</v>
      </c>
      <c r="F6" s="64" t="s">
        <v>239</v>
      </c>
      <c r="G6" s="64" t="s">
        <v>698</v>
      </c>
    </row>
    <row r="7" customFormat="false" ht="15" hidden="false" customHeight="true" outlineLevel="0" collapsed="false">
      <c r="A7" s="64" t="s">
        <v>344</v>
      </c>
      <c r="B7" s="64" t="s">
        <v>696</v>
      </c>
      <c r="C7" s="64" t="s">
        <v>697</v>
      </c>
      <c r="D7" s="63" t="n">
        <v>46120</v>
      </c>
      <c r="E7" s="65" t="n">
        <v>0.875</v>
      </c>
      <c r="F7" s="64" t="s">
        <v>239</v>
      </c>
      <c r="G7" s="64" t="s">
        <v>712</v>
      </c>
    </row>
    <row r="8" customFormat="false" ht="15" hidden="false" customHeight="true" outlineLevel="0" collapsed="false">
      <c r="A8" s="64" t="s">
        <v>713</v>
      </c>
      <c r="B8" s="64" t="s">
        <v>700</v>
      </c>
      <c r="C8" s="64" t="s">
        <v>714</v>
      </c>
      <c r="D8" s="63" t="n">
        <v>46120</v>
      </c>
      <c r="E8" s="65" t="n">
        <v>0.625</v>
      </c>
      <c r="F8" s="64" t="s">
        <v>240</v>
      </c>
      <c r="G8" s="64" t="s">
        <v>702</v>
      </c>
    </row>
    <row r="9" customFormat="false" ht="15" hidden="false" customHeight="true" outlineLevel="0" collapsed="false">
      <c r="A9" s="64" t="s">
        <v>715</v>
      </c>
      <c r="B9" s="64" t="s">
        <v>149</v>
      </c>
      <c r="C9" s="64" t="s">
        <v>165</v>
      </c>
      <c r="D9" s="63" t="n">
        <v>46122</v>
      </c>
      <c r="E9" s="65" t="n">
        <v>0.666667002314815</v>
      </c>
      <c r="F9" s="64" t="s">
        <v>239</v>
      </c>
      <c r="G9" s="64" t="s">
        <v>698</v>
      </c>
    </row>
    <row r="10" customFormat="false" ht="15" hidden="false" customHeight="true" outlineLevel="0" collapsed="false">
      <c r="A10" s="64" t="s">
        <v>716</v>
      </c>
      <c r="B10" s="64" t="s">
        <v>717</v>
      </c>
      <c r="C10" s="64" t="s">
        <v>172</v>
      </c>
      <c r="D10" s="63" t="n">
        <v>46122</v>
      </c>
      <c r="E10" s="65" t="n">
        <v>0.541667002314815</v>
      </c>
      <c r="F10" s="64" t="s">
        <v>238</v>
      </c>
      <c r="G10" s="64" t="s">
        <v>698</v>
      </c>
    </row>
    <row r="11" customFormat="false" ht="15" hidden="false" customHeight="true" outlineLevel="0" collapsed="false">
      <c r="A11" s="64" t="s">
        <v>718</v>
      </c>
      <c r="B11" s="64" t="s">
        <v>717</v>
      </c>
      <c r="C11" s="64" t="s">
        <v>172</v>
      </c>
      <c r="D11" s="63" t="n">
        <v>46122</v>
      </c>
      <c r="E11" s="65" t="n">
        <v>0.625</v>
      </c>
      <c r="F11" s="64" t="s">
        <v>238</v>
      </c>
      <c r="G11" s="64" t="s">
        <v>698</v>
      </c>
    </row>
    <row r="12" customFormat="false" ht="15" hidden="false" customHeight="true" outlineLevel="0" collapsed="false">
      <c r="A12" s="64" t="s">
        <v>312</v>
      </c>
      <c r="B12" s="64" t="s">
        <v>127</v>
      </c>
      <c r="C12" s="64" t="s">
        <v>719</v>
      </c>
      <c r="D12" s="63" t="n">
        <v>46122</v>
      </c>
      <c r="E12" s="65" t="n">
        <v>0.5</v>
      </c>
      <c r="F12" s="64" t="s">
        <v>237</v>
      </c>
      <c r="G12" s="64" t="s">
        <v>698</v>
      </c>
    </row>
    <row r="13" customFormat="false" ht="15" hidden="false" customHeight="true" outlineLevel="0" collapsed="false">
      <c r="A13" s="64" t="s">
        <v>720</v>
      </c>
      <c r="B13" s="64" t="s">
        <v>127</v>
      </c>
      <c r="C13" s="64" t="s">
        <v>719</v>
      </c>
      <c r="D13" s="63" t="n">
        <v>46122</v>
      </c>
      <c r="E13" s="65" t="n">
        <v>0.708332997685185</v>
      </c>
      <c r="F13" s="64" t="s">
        <v>238</v>
      </c>
      <c r="G13" s="64" t="s">
        <v>698</v>
      </c>
    </row>
    <row r="14" customFormat="false" ht="15" hidden="false" customHeight="true" outlineLevel="0" collapsed="false">
      <c r="A14" s="64" t="s">
        <v>721</v>
      </c>
      <c r="B14" s="64" t="s">
        <v>722</v>
      </c>
      <c r="C14" s="64" t="s">
        <v>723</v>
      </c>
      <c r="D14" s="63" t="n">
        <v>46122</v>
      </c>
      <c r="E14" s="65" t="n">
        <v>0.583332997685185</v>
      </c>
      <c r="F14" s="64" t="s">
        <v>237</v>
      </c>
      <c r="G14" s="64" t="s">
        <v>724</v>
      </c>
    </row>
    <row r="15" customFormat="false" ht="15" hidden="false" customHeight="true" outlineLevel="0" collapsed="false">
      <c r="A15" s="64" t="s">
        <v>725</v>
      </c>
      <c r="B15" s="64" t="s">
        <v>722</v>
      </c>
      <c r="C15" s="64" t="s">
        <v>723</v>
      </c>
      <c r="D15" s="63" t="n">
        <v>46122</v>
      </c>
      <c r="E15" s="65" t="n">
        <v>0.666667002314815</v>
      </c>
      <c r="F15" s="64" t="s">
        <v>237</v>
      </c>
      <c r="G15" s="64" t="s">
        <v>724</v>
      </c>
    </row>
    <row r="16" customFormat="false" ht="15" hidden="false" customHeight="true" outlineLevel="0" collapsed="false">
      <c r="A16" s="64" t="s">
        <v>384</v>
      </c>
      <c r="B16" s="64" t="s">
        <v>149</v>
      </c>
      <c r="C16" s="64" t="s">
        <v>726</v>
      </c>
      <c r="D16" s="63" t="n">
        <v>46126</v>
      </c>
      <c r="E16" s="65" t="n">
        <v>0.6875</v>
      </c>
      <c r="F16" s="64" t="s">
        <v>237</v>
      </c>
      <c r="G16" s="64" t="s">
        <v>698</v>
      </c>
    </row>
    <row r="17" customFormat="false" ht="15" hidden="false" customHeight="true" outlineLevel="0" collapsed="false">
      <c r="A17" s="64" t="s">
        <v>383</v>
      </c>
      <c r="B17" s="64" t="s">
        <v>149</v>
      </c>
      <c r="C17" s="64" t="s">
        <v>726</v>
      </c>
      <c r="D17" s="63" t="n">
        <v>46126</v>
      </c>
      <c r="E17" s="65" t="n">
        <v>0.729167002314815</v>
      </c>
      <c r="F17" s="64" t="s">
        <v>237</v>
      </c>
      <c r="G17" s="64" t="s">
        <v>698</v>
      </c>
    </row>
    <row r="18" customFormat="false" ht="15" hidden="false" customHeight="true" outlineLevel="0" collapsed="false">
      <c r="A18" s="64" t="s">
        <v>390</v>
      </c>
      <c r="B18" s="64" t="s">
        <v>127</v>
      </c>
      <c r="C18" s="64" t="s">
        <v>727</v>
      </c>
      <c r="D18" s="63" t="n">
        <v>46127</v>
      </c>
      <c r="E18" s="65" t="n">
        <v>0.520832997685185</v>
      </c>
      <c r="F18" s="64" t="s">
        <v>237</v>
      </c>
      <c r="G18" s="64" t="s">
        <v>728</v>
      </c>
    </row>
    <row r="19" customFormat="false" ht="15" hidden="false" customHeight="true" outlineLevel="0" collapsed="false">
      <c r="A19" s="64" t="s">
        <v>393</v>
      </c>
      <c r="B19" s="64" t="s">
        <v>127</v>
      </c>
      <c r="C19" s="64" t="s">
        <v>727</v>
      </c>
      <c r="D19" s="63" t="n">
        <v>46127</v>
      </c>
      <c r="E19" s="65" t="n">
        <v>0.708332997685185</v>
      </c>
      <c r="F19" s="64" t="s">
        <v>237</v>
      </c>
      <c r="G19" s="64" t="s">
        <v>698</v>
      </c>
    </row>
    <row r="20" customFormat="false" ht="15" hidden="false" customHeight="true" outlineLevel="0" collapsed="false">
      <c r="A20" s="64" t="s">
        <v>394</v>
      </c>
      <c r="B20" s="64" t="s">
        <v>127</v>
      </c>
      <c r="C20" s="64" t="s">
        <v>727</v>
      </c>
      <c r="D20" s="63" t="n">
        <v>46127</v>
      </c>
      <c r="E20" s="65" t="n">
        <v>0.729167002314815</v>
      </c>
      <c r="F20" s="64" t="s">
        <v>237</v>
      </c>
      <c r="G20" s="64" t="s">
        <v>698</v>
      </c>
    </row>
    <row r="21" customFormat="false" ht="15" hidden="false" customHeight="true" outlineLevel="0" collapsed="false">
      <c r="A21" s="64" t="s">
        <v>406</v>
      </c>
      <c r="B21" s="64" t="s">
        <v>729</v>
      </c>
      <c r="C21" s="64" t="s">
        <v>730</v>
      </c>
      <c r="D21" s="63" t="n">
        <v>46128</v>
      </c>
      <c r="E21" s="65" t="n">
        <v>0.604167002314815</v>
      </c>
      <c r="F21" s="64" t="s">
        <v>237</v>
      </c>
      <c r="G21" s="64" t="s">
        <v>731</v>
      </c>
    </row>
    <row r="22" customFormat="false" ht="15" hidden="false" customHeight="true" outlineLevel="0" collapsed="false">
      <c r="A22" s="64" t="s">
        <v>407</v>
      </c>
      <c r="B22" s="64" t="s">
        <v>729</v>
      </c>
      <c r="C22" s="64" t="s">
        <v>730</v>
      </c>
      <c r="D22" s="63" t="n">
        <v>46128</v>
      </c>
      <c r="E22" s="65" t="n">
        <v>0.645832997685185</v>
      </c>
      <c r="F22" s="64" t="s">
        <v>237</v>
      </c>
      <c r="G22" s="64" t="s">
        <v>732</v>
      </c>
    </row>
    <row r="23" customFormat="false" ht="15" hidden="false" customHeight="true" outlineLevel="0" collapsed="false">
      <c r="A23" s="64" t="s">
        <v>416</v>
      </c>
      <c r="B23" s="64" t="s">
        <v>729</v>
      </c>
      <c r="C23" s="64" t="s">
        <v>730</v>
      </c>
      <c r="D23" s="63" t="n">
        <v>46129</v>
      </c>
      <c r="E23" s="65" t="n">
        <v>0.645832997685185</v>
      </c>
      <c r="F23" s="64" t="s">
        <v>238</v>
      </c>
      <c r="G23" s="64" t="s">
        <v>698</v>
      </c>
    </row>
    <row r="24" customFormat="false" ht="15" hidden="false" customHeight="true" outlineLevel="0" collapsed="false">
      <c r="A24" s="64" t="s">
        <v>415</v>
      </c>
      <c r="B24" s="64" t="s">
        <v>729</v>
      </c>
      <c r="C24" s="64" t="s">
        <v>730</v>
      </c>
      <c r="D24" s="63" t="n">
        <v>46129</v>
      </c>
      <c r="E24" s="65" t="n">
        <v>0.5</v>
      </c>
      <c r="F24" s="64" t="s">
        <v>237</v>
      </c>
      <c r="G24" s="64" t="s">
        <v>724</v>
      </c>
    </row>
    <row r="25" customFormat="false" ht="15" hidden="false" customHeight="true" outlineLevel="0" collapsed="false">
      <c r="A25" s="64" t="s">
        <v>733</v>
      </c>
      <c r="B25" s="64" t="s">
        <v>729</v>
      </c>
      <c r="C25" s="64" t="s">
        <v>730</v>
      </c>
      <c r="D25" s="63" t="n">
        <v>46130</v>
      </c>
      <c r="E25" s="65" t="n">
        <v>0.645832997685185</v>
      </c>
      <c r="F25" s="64" t="s">
        <v>238</v>
      </c>
      <c r="G25" s="64" t="s">
        <v>698</v>
      </c>
    </row>
    <row r="26" customFormat="false" ht="15" hidden="false" customHeight="true" outlineLevel="0" collapsed="false">
      <c r="A26" s="64" t="s">
        <v>734</v>
      </c>
      <c r="B26" s="64" t="s">
        <v>729</v>
      </c>
      <c r="C26" s="64" t="s">
        <v>730</v>
      </c>
      <c r="D26" s="63" t="n">
        <v>46130</v>
      </c>
      <c r="E26" s="65" t="n">
        <v>0.625</v>
      </c>
      <c r="F26" s="64" t="s">
        <v>238</v>
      </c>
      <c r="G26" s="64" t="s">
        <v>735</v>
      </c>
    </row>
    <row r="27" customFormat="false" ht="15" hidden="false" customHeight="true" outlineLevel="0" collapsed="false">
      <c r="A27" s="64" t="s">
        <v>736</v>
      </c>
      <c r="B27" s="64" t="s">
        <v>149</v>
      </c>
      <c r="C27" s="64" t="s">
        <v>165</v>
      </c>
      <c r="D27" s="63" t="n">
        <v>46132</v>
      </c>
      <c r="E27" s="65" t="n">
        <v>0.645832997685185</v>
      </c>
      <c r="F27" s="64" t="s">
        <v>238</v>
      </c>
      <c r="G27" s="64" t="s">
        <v>698</v>
      </c>
    </row>
    <row r="28" customFormat="false" ht="15" hidden="false" customHeight="true" outlineLevel="0" collapsed="false">
      <c r="A28" s="64" t="s">
        <v>405</v>
      </c>
      <c r="B28" s="64" t="s">
        <v>149</v>
      </c>
      <c r="C28" s="64" t="s">
        <v>737</v>
      </c>
      <c r="D28" s="63" t="n">
        <v>46132</v>
      </c>
      <c r="E28" s="65" t="n">
        <v>0.770832997685185</v>
      </c>
      <c r="F28" s="64" t="s">
        <v>237</v>
      </c>
      <c r="G28" s="64" t="s">
        <v>738</v>
      </c>
    </row>
    <row r="29" customFormat="false" ht="15" hidden="false" customHeight="true" outlineLevel="0" collapsed="false">
      <c r="A29" s="64" t="s">
        <v>739</v>
      </c>
      <c r="B29" s="64" t="s">
        <v>442</v>
      </c>
      <c r="C29" s="64" t="s">
        <v>740</v>
      </c>
      <c r="D29" s="63" t="n">
        <v>46133</v>
      </c>
      <c r="E29" s="65" t="n">
        <v>0.625</v>
      </c>
      <c r="F29" s="64" t="s">
        <v>237</v>
      </c>
      <c r="G29" s="64" t="s">
        <v>741</v>
      </c>
    </row>
    <row r="30" customFormat="false" ht="15" hidden="false" customHeight="true" outlineLevel="0" collapsed="false">
      <c r="A30" s="64" t="s">
        <v>742</v>
      </c>
      <c r="B30" s="64" t="s">
        <v>442</v>
      </c>
      <c r="C30" s="64" t="s">
        <v>740</v>
      </c>
      <c r="D30" s="63" t="n">
        <v>46133</v>
      </c>
      <c r="E30" s="65" t="n">
        <v>0.708332997685185</v>
      </c>
      <c r="F30" s="64" t="s">
        <v>237</v>
      </c>
      <c r="G30" s="64" t="s">
        <v>743</v>
      </c>
    </row>
    <row r="31" customFormat="false" ht="15" hidden="false" customHeight="true" outlineLevel="0" collapsed="false">
      <c r="A31" s="64" t="s">
        <v>744</v>
      </c>
      <c r="B31" s="64" t="s">
        <v>745</v>
      </c>
      <c r="C31" s="64" t="s">
        <v>746</v>
      </c>
      <c r="D31" s="63" t="n">
        <v>46134</v>
      </c>
      <c r="E31" s="65" t="n">
        <v>0.645832997685185</v>
      </c>
      <c r="F31" s="64" t="s">
        <v>238</v>
      </c>
      <c r="G31" s="64" t="s">
        <v>698</v>
      </c>
    </row>
    <row r="32" customFormat="false" ht="15" hidden="false" customHeight="true" outlineLevel="0" collapsed="false">
      <c r="A32" s="64" t="s">
        <v>390</v>
      </c>
      <c r="B32" s="64" t="s">
        <v>127</v>
      </c>
      <c r="C32" s="64" t="s">
        <v>726</v>
      </c>
      <c r="D32" s="63" t="n">
        <v>46134</v>
      </c>
      <c r="E32" s="65" t="n">
        <v>0.708332997685185</v>
      </c>
      <c r="F32" s="64" t="s">
        <v>237</v>
      </c>
      <c r="G32" s="64" t="s">
        <v>732</v>
      </c>
    </row>
    <row r="33" customFormat="false" ht="15" hidden="false" customHeight="true" outlineLevel="0" collapsed="false">
      <c r="A33" s="64" t="s">
        <v>437</v>
      </c>
      <c r="B33" s="64" t="s">
        <v>156</v>
      </c>
      <c r="C33" s="64" t="s">
        <v>709</v>
      </c>
      <c r="D33" s="63" t="n">
        <v>46135</v>
      </c>
      <c r="E33" s="65" t="n">
        <v>0.625</v>
      </c>
      <c r="F33" s="64" t="s">
        <v>238</v>
      </c>
      <c r="G33" s="64" t="s">
        <v>732</v>
      </c>
    </row>
    <row r="34" customFormat="false" ht="15" hidden="false" customHeight="true" outlineLevel="0" collapsed="false">
      <c r="A34" s="64" t="s">
        <v>352</v>
      </c>
      <c r="B34" s="64" t="s">
        <v>123</v>
      </c>
      <c r="C34" s="64" t="s">
        <v>124</v>
      </c>
      <c r="D34" s="63" t="n">
        <v>46135</v>
      </c>
      <c r="E34" s="64" t="s">
        <v>747</v>
      </c>
      <c r="F34" s="64" t="s">
        <v>239</v>
      </c>
      <c r="G34" s="64" t="s">
        <v>748</v>
      </c>
    </row>
    <row r="35" customFormat="false" ht="15" hidden="false" customHeight="true" outlineLevel="0" collapsed="false">
      <c r="A35" s="64" t="s">
        <v>424</v>
      </c>
      <c r="B35" s="64" t="s">
        <v>149</v>
      </c>
      <c r="C35" s="64" t="s">
        <v>165</v>
      </c>
      <c r="D35" s="63" t="n">
        <v>46135</v>
      </c>
      <c r="E35" s="65" t="n">
        <v>0.770832997685185</v>
      </c>
      <c r="F35" s="64" t="s">
        <v>239</v>
      </c>
      <c r="G35" s="64" t="s">
        <v>731</v>
      </c>
    </row>
    <row r="36" customFormat="false" ht="15" hidden="false" customHeight="true" outlineLevel="0" collapsed="false">
      <c r="A36" s="64" t="s">
        <v>441</v>
      </c>
      <c r="B36" s="64" t="s">
        <v>156</v>
      </c>
      <c r="C36" s="64" t="s">
        <v>709</v>
      </c>
      <c r="D36" s="63" t="n">
        <v>46135</v>
      </c>
      <c r="E36" s="65" t="n">
        <v>0.729167002314815</v>
      </c>
      <c r="F36" s="64" t="s">
        <v>238</v>
      </c>
      <c r="G36" s="64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21.75" hidden="false" customHeight="true" outlineLevel="0" collapsed="false">
      <c r="A1" s="2" t="s">
        <v>749</v>
      </c>
      <c r="B1" s="2"/>
    </row>
    <row r="2" customFormat="false" ht="24" hidden="false" customHeight="true" outlineLevel="0" collapsed="false">
      <c r="A2" s="66"/>
      <c r="B2" s="67"/>
    </row>
    <row r="3" customFormat="false" ht="24" hidden="false" customHeight="true" outlineLevel="0" collapsed="false">
      <c r="A3" s="66" t="s">
        <v>750</v>
      </c>
      <c r="B3" s="67" t="s">
        <v>751</v>
      </c>
    </row>
    <row r="4" customFormat="false" ht="24" hidden="false" customHeight="true" outlineLevel="0" collapsed="false">
      <c r="A4" s="66"/>
      <c r="B4" s="67"/>
    </row>
    <row r="5" customFormat="false" ht="24" hidden="false" customHeight="true" outlineLevel="0" collapsed="false">
      <c r="A5" s="68" t="s">
        <v>752</v>
      </c>
      <c r="B5" s="69"/>
    </row>
    <row r="6" customFormat="false" ht="24" hidden="false" customHeight="true" outlineLevel="0" collapsed="false">
      <c r="A6" s="66" t="s">
        <v>753</v>
      </c>
      <c r="B6" s="67" t="s">
        <v>754</v>
      </c>
    </row>
    <row r="7" customFormat="false" ht="24" hidden="false" customHeight="true" outlineLevel="0" collapsed="false">
      <c r="A7" s="66" t="s">
        <v>755</v>
      </c>
      <c r="B7" s="67" t="s">
        <v>756</v>
      </c>
    </row>
    <row r="8" customFormat="false" ht="24" hidden="false" customHeight="true" outlineLevel="0" collapsed="false">
      <c r="A8" s="66" t="s">
        <v>757</v>
      </c>
      <c r="B8" s="67" t="s">
        <v>758</v>
      </c>
    </row>
    <row r="9" customFormat="false" ht="24" hidden="false" customHeight="true" outlineLevel="0" collapsed="false">
      <c r="A9" s="66" t="s">
        <v>759</v>
      </c>
      <c r="B9" s="67" t="s">
        <v>760</v>
      </c>
    </row>
    <row r="10" customFormat="false" ht="24" hidden="false" customHeight="true" outlineLevel="0" collapsed="false">
      <c r="A10" s="66" t="s">
        <v>761</v>
      </c>
      <c r="B10" s="67" t="s">
        <v>762</v>
      </c>
    </row>
    <row r="11" customFormat="false" ht="24" hidden="false" customHeight="true" outlineLevel="0" collapsed="false">
      <c r="A11" s="66" t="s">
        <v>763</v>
      </c>
      <c r="B11" s="67" t="s">
        <v>764</v>
      </c>
    </row>
    <row r="12" customFormat="false" ht="24" hidden="false" customHeight="true" outlineLevel="0" collapsed="false">
      <c r="A12" s="66" t="s">
        <v>765</v>
      </c>
      <c r="B12" s="67" t="s">
        <v>766</v>
      </c>
    </row>
    <row r="13" customFormat="false" ht="24" hidden="false" customHeight="true" outlineLevel="0" collapsed="false">
      <c r="A13" s="66" t="s">
        <v>767</v>
      </c>
      <c r="B13" s="67" t="s">
        <v>768</v>
      </c>
    </row>
    <row r="14" customFormat="false" ht="24" hidden="false" customHeight="true" outlineLevel="0" collapsed="false">
      <c r="A14" s="66"/>
      <c r="B14" s="67"/>
    </row>
    <row r="15" customFormat="false" ht="24" hidden="false" customHeight="true" outlineLevel="0" collapsed="false">
      <c r="A15" s="68" t="s">
        <v>769</v>
      </c>
      <c r="B15" s="69"/>
    </row>
    <row r="16" customFormat="false" ht="24" hidden="false" customHeight="true" outlineLevel="0" collapsed="false">
      <c r="A16" s="66" t="s">
        <v>770</v>
      </c>
      <c r="B16" s="67" t="s">
        <v>771</v>
      </c>
    </row>
    <row r="17" customFormat="false" ht="24" hidden="false" customHeight="true" outlineLevel="0" collapsed="false">
      <c r="A17" s="66" t="s">
        <v>772</v>
      </c>
      <c r="B17" s="67" t="s">
        <v>773</v>
      </c>
    </row>
    <row r="18" customFormat="false" ht="24" hidden="false" customHeight="true" outlineLevel="0" collapsed="false">
      <c r="A18" s="66" t="s">
        <v>774</v>
      </c>
      <c r="B18" s="67" t="s">
        <v>775</v>
      </c>
    </row>
    <row r="19" customFormat="false" ht="24" hidden="false" customHeight="true" outlineLevel="0" collapsed="false">
      <c r="A19" s="66" t="s">
        <v>776</v>
      </c>
      <c r="B19" s="67" t="s">
        <v>777</v>
      </c>
    </row>
    <row r="20" customFormat="false" ht="24" hidden="false" customHeight="true" outlineLevel="0" collapsed="false">
      <c r="A20" s="66" t="s">
        <v>778</v>
      </c>
      <c r="B20" s="67" t="s">
        <v>779</v>
      </c>
    </row>
    <row r="21" customFormat="false" ht="24" hidden="false" customHeight="true" outlineLevel="0" collapsed="false">
      <c r="A21" s="66"/>
      <c r="B21" s="67"/>
    </row>
    <row r="22" customFormat="false" ht="24" hidden="false" customHeight="true" outlineLevel="0" collapsed="false">
      <c r="A22" s="68" t="s">
        <v>780</v>
      </c>
      <c r="B22" s="69"/>
    </row>
    <row r="23" customFormat="false" ht="24" hidden="false" customHeight="true" outlineLevel="0" collapsed="false">
      <c r="A23" s="70" t="s">
        <v>781</v>
      </c>
      <c r="B23" s="67" t="s">
        <v>782</v>
      </c>
    </row>
    <row r="24" customFormat="false" ht="24" hidden="false" customHeight="true" outlineLevel="0" collapsed="false">
      <c r="A24" s="71" t="s">
        <v>783</v>
      </c>
      <c r="B24" s="67" t="s">
        <v>784</v>
      </c>
    </row>
    <row r="25" customFormat="false" ht="24" hidden="false" customHeight="true" outlineLevel="0" collapsed="false">
      <c r="A25" s="72" t="s">
        <v>785</v>
      </c>
      <c r="B25" s="67" t="s">
        <v>786</v>
      </c>
    </row>
    <row r="26" customFormat="false" ht="24" hidden="false" customHeight="true" outlineLevel="0" collapsed="false">
      <c r="A26" s="73" t="s">
        <v>787</v>
      </c>
      <c r="B26" s="67" t="s">
        <v>788</v>
      </c>
    </row>
    <row r="27" customFormat="false" ht="24" hidden="false" customHeight="true" outlineLevel="0" collapsed="false">
      <c r="A27" s="74" t="s">
        <v>789</v>
      </c>
      <c r="B27" s="67" t="s">
        <v>790</v>
      </c>
    </row>
    <row r="28" customFormat="false" ht="24" hidden="false" customHeight="true" outlineLevel="0" collapsed="false">
      <c r="A28" s="75" t="s">
        <v>791</v>
      </c>
      <c r="B28" s="67" t="s">
        <v>792</v>
      </c>
    </row>
    <row r="29" customFormat="false" ht="24" hidden="false" customHeight="true" outlineLevel="0" collapsed="false">
      <c r="A29" s="66"/>
      <c r="B29" s="67"/>
    </row>
    <row r="30" customFormat="false" ht="24" hidden="false" customHeight="true" outlineLevel="0" collapsed="false">
      <c r="A30" s="68" t="s">
        <v>793</v>
      </c>
      <c r="B30" s="69"/>
    </row>
    <row r="31" customFormat="false" ht="24" hidden="false" customHeight="true" outlineLevel="0" collapsed="false">
      <c r="A31" s="66" t="s">
        <v>794</v>
      </c>
      <c r="B31" s="67" t="s">
        <v>795</v>
      </c>
    </row>
    <row r="32" customFormat="false" ht="24" hidden="false" customHeight="true" outlineLevel="0" collapsed="false">
      <c r="A32" s="66" t="s">
        <v>796</v>
      </c>
      <c r="B32" s="67" t="s">
        <v>797</v>
      </c>
    </row>
    <row r="33" customFormat="false" ht="24" hidden="false" customHeight="true" outlineLevel="0" collapsed="false">
      <c r="A33" s="66" t="s">
        <v>798</v>
      </c>
      <c r="B33" s="67" t="s">
        <v>799</v>
      </c>
    </row>
    <row r="34" customFormat="false" ht="24" hidden="false" customHeight="true" outlineLevel="0" collapsed="false">
      <c r="A34" s="66" t="s">
        <v>800</v>
      </c>
      <c r="B34" s="67" t="s">
        <v>801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2026-04-24T13:10:36Z</dcterms:created>
  <dc:creator>openpyxl</dc:creator>
  <dc:description/>
  <dc:language>en-US</dc:language>
  <cp:lastModifiedBy/>
  <dcterms:modified xsi:type="dcterms:W3CDTF">2026-04-25T03:30:26Z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